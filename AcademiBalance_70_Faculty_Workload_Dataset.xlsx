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Priya\Fellowship\"/>
    </mc:Choice>
  </mc:AlternateContent>
  <xr:revisionPtr revIDLastSave="0" documentId="8_{22CA8B79-1A84-4944-85A9-8F953B3BFA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2" i="1"/>
</calcChain>
</file>

<file path=xl/sharedStrings.xml><?xml version="1.0" encoding="utf-8"?>
<sst xmlns="http://schemas.openxmlformats.org/spreadsheetml/2006/main" count="495" uniqueCount="182">
  <si>
    <t>FacultyID</t>
  </si>
  <si>
    <t>FacultyName</t>
  </si>
  <si>
    <t>Department</t>
  </si>
  <si>
    <t>Programme</t>
  </si>
  <si>
    <t>Semester</t>
  </si>
  <si>
    <t>ContractType</t>
  </si>
  <si>
    <t>TeachingHours</t>
  </si>
  <si>
    <t>LabHours</t>
  </si>
  <si>
    <t>CommitteeHours</t>
  </si>
  <si>
    <t>OtherDutiesHours</t>
  </si>
  <si>
    <t>BatchSize</t>
  </si>
  <si>
    <t>ProgrammeComplexityCoefficient</t>
  </si>
  <si>
    <t>TotalWorkloadHours</t>
  </si>
  <si>
    <t>ComplexityAdjustedHours</t>
  </si>
  <si>
    <t>StudentAdjustedLoadIndex</t>
  </si>
  <si>
    <t>F001</t>
  </si>
  <si>
    <t>Faculty 1</t>
  </si>
  <si>
    <t>Computer Science</t>
  </si>
  <si>
    <t>BCA</t>
  </si>
  <si>
    <t>Sem-1</t>
  </si>
  <si>
    <t>Regular</t>
  </si>
  <si>
    <t>F002</t>
  </si>
  <si>
    <t>Faculty 2</t>
  </si>
  <si>
    <t>Sem-2</t>
  </si>
  <si>
    <t>F003</t>
  </si>
  <si>
    <t>Faculty 3</t>
  </si>
  <si>
    <t>F004</t>
  </si>
  <si>
    <t>Faculty 4</t>
  </si>
  <si>
    <t>Visiting</t>
  </si>
  <si>
    <t>F005</t>
  </si>
  <si>
    <t>Faculty 5</t>
  </si>
  <si>
    <t>F006</t>
  </si>
  <si>
    <t>Faculty 6</t>
  </si>
  <si>
    <t>F007</t>
  </si>
  <si>
    <t>Faculty 7</t>
  </si>
  <si>
    <t>F008</t>
  </si>
  <si>
    <t>Faculty 8</t>
  </si>
  <si>
    <t>F009</t>
  </si>
  <si>
    <t>Faculty 9</t>
  </si>
  <si>
    <t>B.Sc</t>
  </si>
  <si>
    <t>F010</t>
  </si>
  <si>
    <t>Faculty 10</t>
  </si>
  <si>
    <t>F011</t>
  </si>
  <si>
    <t>Faculty 11</t>
  </si>
  <si>
    <t>Commerce</t>
  </si>
  <si>
    <t>B.Com</t>
  </si>
  <si>
    <t>F012</t>
  </si>
  <si>
    <t>Faculty 12</t>
  </si>
  <si>
    <t>F013</t>
  </si>
  <si>
    <t>Faculty 13</t>
  </si>
  <si>
    <t>F014</t>
  </si>
  <si>
    <t>Faculty 14</t>
  </si>
  <si>
    <t>F015</t>
  </si>
  <si>
    <t>Faculty 15</t>
  </si>
  <si>
    <t>F016</t>
  </si>
  <si>
    <t>Faculty 16</t>
  </si>
  <si>
    <t>Management</t>
  </si>
  <si>
    <t>BBA</t>
  </si>
  <si>
    <t>F017</t>
  </si>
  <si>
    <t>Faculty 17</t>
  </si>
  <si>
    <t>F018</t>
  </si>
  <si>
    <t>Faculty 18</t>
  </si>
  <si>
    <t>F019</t>
  </si>
  <si>
    <t>Faculty 19</t>
  </si>
  <si>
    <t>F020</t>
  </si>
  <si>
    <t>Faculty 20</t>
  </si>
  <si>
    <t>F021</t>
  </si>
  <si>
    <t>Faculty 21</t>
  </si>
  <si>
    <t>BBA Aviation</t>
  </si>
  <si>
    <t>F022</t>
  </si>
  <si>
    <t>Faculty 22</t>
  </si>
  <si>
    <t>F023</t>
  </si>
  <si>
    <t>Faculty 23</t>
  </si>
  <si>
    <t>F024</t>
  </si>
  <si>
    <t>Faculty 24</t>
  </si>
  <si>
    <t>F025</t>
  </si>
  <si>
    <t>Faculty 25</t>
  </si>
  <si>
    <t>F026</t>
  </si>
  <si>
    <t>Faculty 26</t>
  </si>
  <si>
    <t>Languages</t>
  </si>
  <si>
    <t>F027</t>
  </si>
  <si>
    <t>Faculty 27</t>
  </si>
  <si>
    <t>F028</t>
  </si>
  <si>
    <t>Faculty 28</t>
  </si>
  <si>
    <t>F029</t>
  </si>
  <si>
    <t>Faculty 29</t>
  </si>
  <si>
    <t>F030</t>
  </si>
  <si>
    <t>Faculty 30</t>
  </si>
  <si>
    <t>F031</t>
  </si>
  <si>
    <t>Faculty 31</t>
  </si>
  <si>
    <t>F032</t>
  </si>
  <si>
    <t>Faculty 32</t>
  </si>
  <si>
    <t>F033</t>
  </si>
  <si>
    <t>Faculty 33</t>
  </si>
  <si>
    <t>F034</t>
  </si>
  <si>
    <t>Faculty 34</t>
  </si>
  <si>
    <t>F035</t>
  </si>
  <si>
    <t>Faculty 35</t>
  </si>
  <si>
    <t>F036</t>
  </si>
  <si>
    <t>Faculty 36</t>
  </si>
  <si>
    <t>F037</t>
  </si>
  <si>
    <t>Faculty 37</t>
  </si>
  <si>
    <t>F038</t>
  </si>
  <si>
    <t>Faculty 38</t>
  </si>
  <si>
    <t>F039</t>
  </si>
  <si>
    <t>Faculty 39</t>
  </si>
  <si>
    <t>F040</t>
  </si>
  <si>
    <t>Faculty 40</t>
  </si>
  <si>
    <t>F051</t>
  </si>
  <si>
    <t>Faculty 51</t>
  </si>
  <si>
    <t>F052</t>
  </si>
  <si>
    <t>Faculty 52</t>
  </si>
  <si>
    <t>F053</t>
  </si>
  <si>
    <t>Faculty 53</t>
  </si>
  <si>
    <t>F054</t>
  </si>
  <si>
    <t>Faculty 54</t>
  </si>
  <si>
    <t>F055</t>
  </si>
  <si>
    <t>Faculty 55</t>
  </si>
  <si>
    <t>F056</t>
  </si>
  <si>
    <t>Faculty 56</t>
  </si>
  <si>
    <t>F057</t>
  </si>
  <si>
    <t>Faculty 57</t>
  </si>
  <si>
    <t>F058</t>
  </si>
  <si>
    <t>Faculty 58</t>
  </si>
  <si>
    <t>F059</t>
  </si>
  <si>
    <t>Faculty 59</t>
  </si>
  <si>
    <t>F060</t>
  </si>
  <si>
    <t>Faculty 60</t>
  </si>
  <si>
    <t>F045</t>
  </si>
  <si>
    <t>Faculty 45</t>
  </si>
  <si>
    <t>F046</t>
  </si>
  <si>
    <t>Faculty 46</t>
  </si>
  <si>
    <t>F047</t>
  </si>
  <si>
    <t>Faculty 47</t>
  </si>
  <si>
    <t>F048</t>
  </si>
  <si>
    <t>Faculty 48</t>
  </si>
  <si>
    <t>F049</t>
  </si>
  <si>
    <t>Faculty 49</t>
  </si>
  <si>
    <t>F050</t>
  </si>
  <si>
    <t>Faculty 50</t>
  </si>
  <si>
    <t>F061</t>
  </si>
  <si>
    <t>Faculty 61</t>
  </si>
  <si>
    <t>F062</t>
  </si>
  <si>
    <t>Faculty 62</t>
  </si>
  <si>
    <t>F063</t>
  </si>
  <si>
    <t>Faculty 63</t>
  </si>
  <si>
    <t>F064</t>
  </si>
  <si>
    <t>Faculty 64</t>
  </si>
  <si>
    <t>F065</t>
  </si>
  <si>
    <t>Faculty 65</t>
  </si>
  <si>
    <t>F066</t>
  </si>
  <si>
    <t>Faculty 66</t>
  </si>
  <si>
    <t>F067</t>
  </si>
  <si>
    <t>Faculty 67</t>
  </si>
  <si>
    <t>F068</t>
  </si>
  <si>
    <t>Faculty 68</t>
  </si>
  <si>
    <t>F069</t>
  </si>
  <si>
    <t>Faculty 69</t>
  </si>
  <si>
    <t>F070</t>
  </si>
  <si>
    <t>Faculty 70</t>
  </si>
  <si>
    <t>F041</t>
  </si>
  <si>
    <t>Faculty Member 41</t>
  </si>
  <si>
    <t>F042</t>
  </si>
  <si>
    <t>Faculty Member 42</t>
  </si>
  <si>
    <t>F043</t>
  </si>
  <si>
    <t>Faculty Member 43</t>
  </si>
  <si>
    <t>F044</t>
  </si>
  <si>
    <t>Faculty Member 44</t>
  </si>
  <si>
    <t>Faculty Member 45</t>
  </si>
  <si>
    <t>Faculty Member 46</t>
  </si>
  <si>
    <t>Faculty Member 47</t>
  </si>
  <si>
    <t>Faculty Member 48</t>
  </si>
  <si>
    <t>Faculty Member 49</t>
  </si>
  <si>
    <t>Faculty Member 50</t>
  </si>
  <si>
    <t>Faculty 41</t>
  </si>
  <si>
    <t>Faculty 42</t>
  </si>
  <si>
    <t>Faculty 43</t>
  </si>
  <si>
    <t>Faculty 44</t>
  </si>
  <si>
    <t>Sem-3</t>
  </si>
  <si>
    <t>Sem-4</t>
  </si>
  <si>
    <t>Sem-5</t>
  </si>
  <si>
    <t>Sem-6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</si>
</sst>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.sc/" TargetMode="External"/><Relationship Id="rId13" Type="http://schemas.openxmlformats.org/officeDocument/2006/relationships/hyperlink" Target="http://b.com/" TargetMode="External"/><Relationship Id="rId18" Type="http://schemas.openxmlformats.org/officeDocument/2006/relationships/hyperlink" Target="http://b.com/" TargetMode="External"/><Relationship Id="rId3" Type="http://schemas.openxmlformats.org/officeDocument/2006/relationships/hyperlink" Target="http://b.com/" TargetMode="External"/><Relationship Id="rId21" Type="http://schemas.openxmlformats.org/officeDocument/2006/relationships/hyperlink" Target="http://b.com/" TargetMode="External"/><Relationship Id="rId7" Type="http://schemas.openxmlformats.org/officeDocument/2006/relationships/hyperlink" Target="http://b.com/" TargetMode="External"/><Relationship Id="rId12" Type="http://schemas.openxmlformats.org/officeDocument/2006/relationships/hyperlink" Target="http://b.com/" TargetMode="External"/><Relationship Id="rId17" Type="http://schemas.openxmlformats.org/officeDocument/2006/relationships/hyperlink" Target="http://b.sc/" TargetMode="External"/><Relationship Id="rId2" Type="http://schemas.openxmlformats.org/officeDocument/2006/relationships/hyperlink" Target="http://b.sc/" TargetMode="External"/><Relationship Id="rId16" Type="http://schemas.openxmlformats.org/officeDocument/2006/relationships/hyperlink" Target="http://b.sc/" TargetMode="External"/><Relationship Id="rId20" Type="http://schemas.openxmlformats.org/officeDocument/2006/relationships/hyperlink" Target="http://b.com/" TargetMode="External"/><Relationship Id="rId1" Type="http://schemas.openxmlformats.org/officeDocument/2006/relationships/hyperlink" Target="http://b.sc/" TargetMode="External"/><Relationship Id="rId6" Type="http://schemas.openxmlformats.org/officeDocument/2006/relationships/hyperlink" Target="http://b.com/" TargetMode="External"/><Relationship Id="rId11" Type="http://schemas.openxmlformats.org/officeDocument/2006/relationships/hyperlink" Target="http://b.com/" TargetMode="External"/><Relationship Id="rId5" Type="http://schemas.openxmlformats.org/officeDocument/2006/relationships/hyperlink" Target="http://b.com/" TargetMode="External"/><Relationship Id="rId15" Type="http://schemas.openxmlformats.org/officeDocument/2006/relationships/hyperlink" Target="http://b.sc/" TargetMode="External"/><Relationship Id="rId10" Type="http://schemas.openxmlformats.org/officeDocument/2006/relationships/hyperlink" Target="http://b.sc/" TargetMode="External"/><Relationship Id="rId19" Type="http://schemas.openxmlformats.org/officeDocument/2006/relationships/hyperlink" Target="http://b.com/" TargetMode="External"/><Relationship Id="rId4" Type="http://schemas.openxmlformats.org/officeDocument/2006/relationships/hyperlink" Target="http://b.com/" TargetMode="External"/><Relationship Id="rId9" Type="http://schemas.openxmlformats.org/officeDocument/2006/relationships/hyperlink" Target="http://b.sc/" TargetMode="External"/><Relationship Id="rId14" Type="http://schemas.openxmlformats.org/officeDocument/2006/relationships/hyperlink" Target="http://b.com/" TargetMode="External"/><Relationship Id="rId22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009"/>
  <sheetViews>
    <sheetView tabSelected="1" topLeftCell="D1" workbookViewId="0">
      <selection activeCell="P6" sqref="P6"/>
    </sheetView>
  </sheetViews>
  <sheetFormatPr defaultColWidth="12.6328125" defaultRowHeight="15.75" customHeight="1" x14ac:dyDescent="0.25"/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12</v>
      </c>
      <c r="H2" s="1">
        <v>8</v>
      </c>
      <c r="I2" s="1">
        <v>1</v>
      </c>
      <c r="J2" s="1">
        <v>1</v>
      </c>
      <c r="K2" s="1">
        <v>35</v>
      </c>
      <c r="L2" s="1">
        <v>1.3</v>
      </c>
      <c r="M2" s="1">
        <f>G2+H2+I2+J2</f>
        <v>22</v>
      </c>
      <c r="N2" s="1">
        <f>L2*M2</f>
        <v>28.6</v>
      </c>
      <c r="O2" s="1">
        <f>G2*K2*L2</f>
        <v>546</v>
      </c>
    </row>
    <row r="3" spans="1:15" ht="15.75" customHeight="1" x14ac:dyDescent="0.25">
      <c r="A3" s="1" t="s">
        <v>21</v>
      </c>
      <c r="B3" s="1" t="s">
        <v>22</v>
      </c>
      <c r="C3" s="1" t="s">
        <v>17</v>
      </c>
      <c r="D3" s="1" t="s">
        <v>18</v>
      </c>
      <c r="E3" s="1" t="s">
        <v>23</v>
      </c>
      <c r="F3" s="1" t="s">
        <v>20</v>
      </c>
      <c r="G3" s="1">
        <v>12</v>
      </c>
      <c r="H3" s="1">
        <v>8</v>
      </c>
      <c r="I3" s="1">
        <v>1</v>
      </c>
      <c r="J3" s="1">
        <v>1</v>
      </c>
      <c r="K3" s="1">
        <v>40</v>
      </c>
      <c r="L3" s="1">
        <v>1.3</v>
      </c>
      <c r="M3" s="1">
        <f t="shared" ref="M3:M66" si="0">G3+H3+I3+J3</f>
        <v>22</v>
      </c>
      <c r="N3" s="1">
        <f t="shared" ref="N3:N66" si="1">L3*M3</f>
        <v>28.6</v>
      </c>
      <c r="O3" s="1">
        <f t="shared" ref="O3:O66" si="2">G3*K3*L3</f>
        <v>624</v>
      </c>
    </row>
    <row r="4" spans="1:15" ht="15.75" customHeight="1" x14ac:dyDescent="0.25">
      <c r="A4" s="1" t="s">
        <v>24</v>
      </c>
      <c r="B4" s="1" t="s">
        <v>25</v>
      </c>
      <c r="C4" s="1" t="s">
        <v>17</v>
      </c>
      <c r="D4" s="1" t="s">
        <v>18</v>
      </c>
      <c r="E4" s="1" t="s">
        <v>19</v>
      </c>
      <c r="F4" s="1" t="s">
        <v>20</v>
      </c>
      <c r="G4" s="1">
        <v>11</v>
      </c>
      <c r="H4" s="1">
        <v>8</v>
      </c>
      <c r="I4" s="1">
        <v>2</v>
      </c>
      <c r="J4" s="1">
        <v>0</v>
      </c>
      <c r="K4" s="1">
        <v>38</v>
      </c>
      <c r="L4" s="1">
        <v>1.3</v>
      </c>
      <c r="M4" s="1">
        <f t="shared" si="0"/>
        <v>21</v>
      </c>
      <c r="N4" s="1">
        <f t="shared" si="1"/>
        <v>27.3</v>
      </c>
      <c r="O4" s="1">
        <f t="shared" si="2"/>
        <v>543.4</v>
      </c>
    </row>
    <row r="5" spans="1:15" ht="15.75" customHeight="1" x14ac:dyDescent="0.25">
      <c r="A5" s="1" t="s">
        <v>26</v>
      </c>
      <c r="B5" s="1" t="s">
        <v>27</v>
      </c>
      <c r="C5" s="1" t="s">
        <v>17</v>
      </c>
      <c r="D5" s="1" t="s">
        <v>18</v>
      </c>
      <c r="E5" s="1" t="s">
        <v>23</v>
      </c>
      <c r="F5" s="1" t="s">
        <v>28</v>
      </c>
      <c r="G5" s="1">
        <v>10</v>
      </c>
      <c r="H5" s="1">
        <v>8</v>
      </c>
      <c r="I5" s="1">
        <v>1</v>
      </c>
      <c r="J5" s="1">
        <v>1</v>
      </c>
      <c r="K5" s="1">
        <v>35</v>
      </c>
      <c r="L5" s="1">
        <v>1.3</v>
      </c>
      <c r="M5" s="1">
        <f t="shared" si="0"/>
        <v>20</v>
      </c>
      <c r="N5" s="1">
        <f t="shared" si="1"/>
        <v>26</v>
      </c>
      <c r="O5" s="1">
        <f t="shared" si="2"/>
        <v>455</v>
      </c>
    </row>
    <row r="6" spans="1:15" ht="15.75" customHeight="1" x14ac:dyDescent="0.25">
      <c r="A6" s="1" t="s">
        <v>29</v>
      </c>
      <c r="B6" s="1" t="s">
        <v>30</v>
      </c>
      <c r="C6" s="1" t="s">
        <v>17</v>
      </c>
      <c r="D6" s="1" t="s">
        <v>18</v>
      </c>
      <c r="E6" s="1" t="s">
        <v>19</v>
      </c>
      <c r="F6" s="1" t="s">
        <v>28</v>
      </c>
      <c r="G6" s="1">
        <v>9</v>
      </c>
      <c r="H6" s="1">
        <v>8</v>
      </c>
      <c r="I6" s="1">
        <v>0</v>
      </c>
      <c r="J6" s="1">
        <v>1</v>
      </c>
      <c r="K6" s="1">
        <v>32</v>
      </c>
      <c r="L6" s="1">
        <v>1.3</v>
      </c>
      <c r="M6" s="1">
        <f t="shared" si="0"/>
        <v>18</v>
      </c>
      <c r="N6" s="1">
        <f t="shared" si="1"/>
        <v>23.400000000000002</v>
      </c>
      <c r="O6" s="1">
        <f t="shared" si="2"/>
        <v>374.40000000000003</v>
      </c>
    </row>
    <row r="7" spans="1:15" ht="15.75" customHeight="1" x14ac:dyDescent="0.25">
      <c r="A7" s="1" t="s">
        <v>31</v>
      </c>
      <c r="B7" s="1" t="s">
        <v>32</v>
      </c>
      <c r="C7" s="1" t="s">
        <v>17</v>
      </c>
      <c r="D7" s="1" t="s">
        <v>18</v>
      </c>
      <c r="E7" s="1" t="s">
        <v>23</v>
      </c>
      <c r="F7" s="1" t="s">
        <v>20</v>
      </c>
      <c r="G7" s="1">
        <v>13</v>
      </c>
      <c r="H7" s="1">
        <v>8</v>
      </c>
      <c r="I7" s="1">
        <v>2</v>
      </c>
      <c r="J7" s="1">
        <v>1</v>
      </c>
      <c r="K7" s="1">
        <v>42</v>
      </c>
      <c r="L7" s="1">
        <v>1.3</v>
      </c>
      <c r="M7" s="1">
        <f t="shared" si="0"/>
        <v>24</v>
      </c>
      <c r="N7" s="1">
        <f t="shared" si="1"/>
        <v>31.200000000000003</v>
      </c>
      <c r="O7" s="1">
        <f t="shared" si="2"/>
        <v>709.80000000000007</v>
      </c>
    </row>
    <row r="8" spans="1:15" ht="15.75" customHeight="1" x14ac:dyDescent="0.25">
      <c r="A8" s="1" t="s">
        <v>33</v>
      </c>
      <c r="B8" s="1" t="s">
        <v>34</v>
      </c>
      <c r="C8" s="1" t="s">
        <v>17</v>
      </c>
      <c r="D8" s="1" t="s">
        <v>18</v>
      </c>
      <c r="E8" s="1" t="s">
        <v>19</v>
      </c>
      <c r="F8" s="1" t="s">
        <v>20</v>
      </c>
      <c r="G8" s="1">
        <v>12</v>
      </c>
      <c r="H8" s="1">
        <v>8</v>
      </c>
      <c r="I8" s="1">
        <v>1</v>
      </c>
      <c r="J8" s="1">
        <v>0</v>
      </c>
      <c r="K8" s="1">
        <v>38</v>
      </c>
      <c r="L8" s="1">
        <v>1.3</v>
      </c>
      <c r="M8" s="1">
        <f t="shared" si="0"/>
        <v>21</v>
      </c>
      <c r="N8" s="1">
        <f t="shared" si="1"/>
        <v>27.3</v>
      </c>
      <c r="O8" s="1">
        <f t="shared" si="2"/>
        <v>592.80000000000007</v>
      </c>
    </row>
    <row r="9" spans="1:15" ht="15.75" customHeight="1" x14ac:dyDescent="0.25">
      <c r="A9" s="1" t="s">
        <v>35</v>
      </c>
      <c r="B9" s="1" t="s">
        <v>36</v>
      </c>
      <c r="C9" s="1" t="s">
        <v>17</v>
      </c>
      <c r="D9" s="1" t="s">
        <v>18</v>
      </c>
      <c r="E9" s="1" t="s">
        <v>23</v>
      </c>
      <c r="F9" s="1" t="s">
        <v>28</v>
      </c>
      <c r="G9" s="1">
        <v>11</v>
      </c>
      <c r="H9" s="1">
        <v>8</v>
      </c>
      <c r="I9" s="1">
        <v>0</v>
      </c>
      <c r="J9" s="1">
        <v>1</v>
      </c>
      <c r="K9" s="1">
        <v>36</v>
      </c>
      <c r="L9" s="1">
        <v>1.3</v>
      </c>
      <c r="M9" s="1">
        <f t="shared" si="0"/>
        <v>20</v>
      </c>
      <c r="N9" s="1">
        <f t="shared" si="1"/>
        <v>26</v>
      </c>
      <c r="O9" s="1">
        <f t="shared" si="2"/>
        <v>514.80000000000007</v>
      </c>
    </row>
    <row r="10" spans="1:15" ht="15.75" customHeight="1" x14ac:dyDescent="0.25">
      <c r="A10" s="1" t="s">
        <v>37</v>
      </c>
      <c r="B10" s="1" t="s">
        <v>38</v>
      </c>
      <c r="C10" s="1" t="s">
        <v>17</v>
      </c>
      <c r="D10" s="2" t="s">
        <v>39</v>
      </c>
      <c r="E10" s="1" t="s">
        <v>19</v>
      </c>
      <c r="F10" s="1" t="s">
        <v>20</v>
      </c>
      <c r="G10" s="1">
        <v>14</v>
      </c>
      <c r="H10" s="1">
        <v>0</v>
      </c>
      <c r="I10" s="1">
        <v>1</v>
      </c>
      <c r="J10" s="1">
        <v>1</v>
      </c>
      <c r="K10" s="1">
        <v>45</v>
      </c>
      <c r="L10" s="1">
        <v>1.2</v>
      </c>
      <c r="M10" s="1">
        <f t="shared" si="0"/>
        <v>16</v>
      </c>
      <c r="N10" s="1">
        <f t="shared" si="1"/>
        <v>19.2</v>
      </c>
      <c r="O10" s="1">
        <f t="shared" si="2"/>
        <v>756</v>
      </c>
    </row>
    <row r="11" spans="1:15" ht="15.75" customHeight="1" x14ac:dyDescent="0.25">
      <c r="A11" s="1" t="s">
        <v>40</v>
      </c>
      <c r="B11" s="1" t="s">
        <v>41</v>
      </c>
      <c r="C11" s="1" t="s">
        <v>17</v>
      </c>
      <c r="D11" s="2" t="s">
        <v>39</v>
      </c>
      <c r="E11" s="1" t="s">
        <v>23</v>
      </c>
      <c r="F11" s="1" t="s">
        <v>20</v>
      </c>
      <c r="G11" s="1">
        <v>13</v>
      </c>
      <c r="H11" s="1">
        <v>0</v>
      </c>
      <c r="I11" s="1">
        <v>2</v>
      </c>
      <c r="J11" s="1">
        <v>1</v>
      </c>
      <c r="K11" s="1">
        <v>48</v>
      </c>
      <c r="L11" s="1">
        <v>1.2</v>
      </c>
      <c r="M11" s="1">
        <f t="shared" si="0"/>
        <v>16</v>
      </c>
      <c r="N11" s="1">
        <f t="shared" si="1"/>
        <v>19.2</v>
      </c>
      <c r="O11" s="1">
        <f t="shared" si="2"/>
        <v>748.8</v>
      </c>
    </row>
    <row r="12" spans="1:15" ht="15.75" customHeight="1" x14ac:dyDescent="0.25">
      <c r="A12" s="1" t="s">
        <v>42</v>
      </c>
      <c r="B12" s="1" t="s">
        <v>43</v>
      </c>
      <c r="C12" s="1" t="s">
        <v>44</v>
      </c>
      <c r="D12" s="2" t="s">
        <v>45</v>
      </c>
      <c r="E12" s="1" t="s">
        <v>19</v>
      </c>
      <c r="F12" s="1" t="s">
        <v>20</v>
      </c>
      <c r="G12" s="1">
        <v>15</v>
      </c>
      <c r="H12" s="1">
        <v>0</v>
      </c>
      <c r="I12" s="1">
        <v>2</v>
      </c>
      <c r="J12" s="1">
        <v>1</v>
      </c>
      <c r="K12" s="1">
        <v>65</v>
      </c>
      <c r="L12" s="1">
        <v>1.1000000000000001</v>
      </c>
      <c r="M12" s="1">
        <f t="shared" si="0"/>
        <v>18</v>
      </c>
      <c r="N12" s="1">
        <f t="shared" si="1"/>
        <v>19.8</v>
      </c>
      <c r="O12" s="1">
        <f t="shared" si="2"/>
        <v>1072.5</v>
      </c>
    </row>
    <row r="13" spans="1:15" ht="15.75" customHeight="1" x14ac:dyDescent="0.25">
      <c r="A13" s="1" t="s">
        <v>46</v>
      </c>
      <c r="B13" s="1" t="s">
        <v>47</v>
      </c>
      <c r="C13" s="1" t="s">
        <v>44</v>
      </c>
      <c r="D13" s="2" t="s">
        <v>45</v>
      </c>
      <c r="E13" s="1" t="s">
        <v>23</v>
      </c>
      <c r="F13" s="1" t="s">
        <v>20</v>
      </c>
      <c r="G13" s="1">
        <v>14</v>
      </c>
      <c r="H13" s="1">
        <v>0</v>
      </c>
      <c r="I13" s="1">
        <v>1</v>
      </c>
      <c r="J13" s="1">
        <v>1</v>
      </c>
      <c r="K13" s="1">
        <v>70</v>
      </c>
      <c r="L13" s="1">
        <v>1.1000000000000001</v>
      </c>
      <c r="M13" s="1">
        <f t="shared" si="0"/>
        <v>16</v>
      </c>
      <c r="N13" s="1">
        <f t="shared" si="1"/>
        <v>17.600000000000001</v>
      </c>
      <c r="O13" s="1">
        <f t="shared" si="2"/>
        <v>1078</v>
      </c>
    </row>
    <row r="14" spans="1:15" ht="15.75" customHeight="1" x14ac:dyDescent="0.25">
      <c r="A14" s="1" t="s">
        <v>48</v>
      </c>
      <c r="B14" s="1" t="s">
        <v>49</v>
      </c>
      <c r="C14" s="1" t="s">
        <v>44</v>
      </c>
      <c r="D14" s="2" t="s">
        <v>45</v>
      </c>
      <c r="E14" s="1" t="s">
        <v>19</v>
      </c>
      <c r="F14" s="1" t="s">
        <v>20</v>
      </c>
      <c r="G14" s="1">
        <v>16</v>
      </c>
      <c r="H14" s="1">
        <v>0</v>
      </c>
      <c r="I14" s="1">
        <v>2</v>
      </c>
      <c r="J14" s="1">
        <v>0</v>
      </c>
      <c r="K14" s="1">
        <v>68</v>
      </c>
      <c r="L14" s="1">
        <v>1.1000000000000001</v>
      </c>
      <c r="M14" s="1">
        <f t="shared" si="0"/>
        <v>18</v>
      </c>
      <c r="N14" s="1">
        <f t="shared" si="1"/>
        <v>19.8</v>
      </c>
      <c r="O14" s="1">
        <f t="shared" si="2"/>
        <v>1196.8000000000002</v>
      </c>
    </row>
    <row r="15" spans="1:15" ht="15.75" customHeight="1" x14ac:dyDescent="0.25">
      <c r="A15" s="1" t="s">
        <v>50</v>
      </c>
      <c r="B15" s="1" t="s">
        <v>51</v>
      </c>
      <c r="C15" s="1" t="s">
        <v>44</v>
      </c>
      <c r="D15" s="2" t="s">
        <v>45</v>
      </c>
      <c r="E15" s="1" t="s">
        <v>23</v>
      </c>
      <c r="F15" s="1" t="s">
        <v>28</v>
      </c>
      <c r="G15" s="1">
        <v>12</v>
      </c>
      <c r="H15" s="1">
        <v>0</v>
      </c>
      <c r="I15" s="1">
        <v>1</v>
      </c>
      <c r="J15" s="1">
        <v>1</v>
      </c>
      <c r="K15" s="1">
        <v>60</v>
      </c>
      <c r="L15" s="1">
        <v>1.1000000000000001</v>
      </c>
      <c r="M15" s="1">
        <f t="shared" si="0"/>
        <v>14</v>
      </c>
      <c r="N15" s="1">
        <f t="shared" si="1"/>
        <v>15.400000000000002</v>
      </c>
      <c r="O15" s="1">
        <f t="shared" si="2"/>
        <v>792.00000000000011</v>
      </c>
    </row>
    <row r="16" spans="1:15" ht="15.75" customHeight="1" x14ac:dyDescent="0.25">
      <c r="A16" s="1" t="s">
        <v>52</v>
      </c>
      <c r="B16" s="1" t="s">
        <v>53</v>
      </c>
      <c r="C16" s="1" t="s">
        <v>44</v>
      </c>
      <c r="D16" s="2" t="s">
        <v>45</v>
      </c>
      <c r="E16" s="1" t="s">
        <v>19</v>
      </c>
      <c r="F16" s="1" t="s">
        <v>28</v>
      </c>
      <c r="G16" s="1">
        <v>13</v>
      </c>
      <c r="H16" s="1">
        <v>0</v>
      </c>
      <c r="I16" s="1">
        <v>0</v>
      </c>
      <c r="J16" s="1">
        <v>1</v>
      </c>
      <c r="K16" s="1">
        <v>65</v>
      </c>
      <c r="L16" s="1">
        <v>1.1000000000000001</v>
      </c>
      <c r="M16" s="1">
        <f t="shared" si="0"/>
        <v>14</v>
      </c>
      <c r="N16" s="1">
        <f t="shared" si="1"/>
        <v>15.400000000000002</v>
      </c>
      <c r="O16" s="1">
        <f t="shared" si="2"/>
        <v>929.50000000000011</v>
      </c>
    </row>
    <row r="17" spans="1:15" ht="15.75" customHeight="1" x14ac:dyDescent="0.25">
      <c r="A17" s="1" t="s">
        <v>54</v>
      </c>
      <c r="B17" s="1" t="s">
        <v>55</v>
      </c>
      <c r="C17" s="1" t="s">
        <v>56</v>
      </c>
      <c r="D17" s="1" t="s">
        <v>57</v>
      </c>
      <c r="E17" s="1" t="s">
        <v>23</v>
      </c>
      <c r="F17" s="1" t="s">
        <v>20</v>
      </c>
      <c r="G17" s="1">
        <v>14</v>
      </c>
      <c r="H17" s="1">
        <v>0</v>
      </c>
      <c r="I17" s="1">
        <v>2</v>
      </c>
      <c r="J17" s="1">
        <v>1</v>
      </c>
      <c r="K17" s="1">
        <v>50</v>
      </c>
      <c r="L17" s="1">
        <v>1.2</v>
      </c>
      <c r="M17" s="1">
        <f t="shared" si="0"/>
        <v>17</v>
      </c>
      <c r="N17" s="1">
        <f t="shared" si="1"/>
        <v>20.399999999999999</v>
      </c>
      <c r="O17" s="1">
        <f t="shared" si="2"/>
        <v>840</v>
      </c>
    </row>
    <row r="18" spans="1:15" ht="15.75" customHeight="1" x14ac:dyDescent="0.25">
      <c r="A18" s="1" t="s">
        <v>58</v>
      </c>
      <c r="B18" s="1" t="s">
        <v>59</v>
      </c>
      <c r="C18" s="1" t="s">
        <v>56</v>
      </c>
      <c r="D18" s="1" t="s">
        <v>57</v>
      </c>
      <c r="E18" s="1" t="s">
        <v>19</v>
      </c>
      <c r="F18" s="1" t="s">
        <v>20</v>
      </c>
      <c r="G18" s="1">
        <v>15</v>
      </c>
      <c r="H18" s="1">
        <v>0</v>
      </c>
      <c r="I18" s="1">
        <v>1</v>
      </c>
      <c r="J18" s="1">
        <v>1</v>
      </c>
      <c r="K18" s="1">
        <v>55</v>
      </c>
      <c r="L18" s="1">
        <v>1.2</v>
      </c>
      <c r="M18" s="1">
        <f t="shared" si="0"/>
        <v>17</v>
      </c>
      <c r="N18" s="1">
        <f t="shared" si="1"/>
        <v>20.399999999999999</v>
      </c>
      <c r="O18" s="1">
        <f t="shared" si="2"/>
        <v>990</v>
      </c>
    </row>
    <row r="19" spans="1:15" ht="15.75" customHeight="1" x14ac:dyDescent="0.25">
      <c r="A19" s="1" t="s">
        <v>60</v>
      </c>
      <c r="B19" s="1" t="s">
        <v>61</v>
      </c>
      <c r="C19" s="1" t="s">
        <v>56</v>
      </c>
      <c r="D19" s="1" t="s">
        <v>57</v>
      </c>
      <c r="E19" s="1" t="s">
        <v>23</v>
      </c>
      <c r="F19" s="1" t="s">
        <v>20</v>
      </c>
      <c r="G19" s="1">
        <v>13</v>
      </c>
      <c r="H19" s="1">
        <v>0</v>
      </c>
      <c r="I19" s="1">
        <v>2</v>
      </c>
      <c r="J19" s="1">
        <v>0</v>
      </c>
      <c r="K19" s="1">
        <v>52</v>
      </c>
      <c r="L19" s="1">
        <v>1.2</v>
      </c>
      <c r="M19" s="1">
        <f t="shared" si="0"/>
        <v>15</v>
      </c>
      <c r="N19" s="1">
        <f t="shared" si="1"/>
        <v>18</v>
      </c>
      <c r="O19" s="1">
        <f t="shared" si="2"/>
        <v>811.19999999999993</v>
      </c>
    </row>
    <row r="20" spans="1:15" ht="12.5" x14ac:dyDescent="0.25">
      <c r="A20" s="1" t="s">
        <v>62</v>
      </c>
      <c r="B20" s="1" t="s">
        <v>63</v>
      </c>
      <c r="C20" s="1" t="s">
        <v>56</v>
      </c>
      <c r="D20" s="1" t="s">
        <v>57</v>
      </c>
      <c r="E20" s="1" t="s">
        <v>19</v>
      </c>
      <c r="F20" s="1" t="s">
        <v>28</v>
      </c>
      <c r="G20" s="1">
        <v>12</v>
      </c>
      <c r="H20" s="1">
        <v>0</v>
      </c>
      <c r="I20" s="1">
        <v>1</v>
      </c>
      <c r="J20" s="1">
        <v>1</v>
      </c>
      <c r="K20" s="1">
        <v>48</v>
      </c>
      <c r="L20" s="1">
        <v>1.2</v>
      </c>
      <c r="M20" s="1">
        <f t="shared" si="0"/>
        <v>14</v>
      </c>
      <c r="N20" s="1">
        <f t="shared" si="1"/>
        <v>16.8</v>
      </c>
      <c r="O20" s="1">
        <f t="shared" si="2"/>
        <v>691.19999999999993</v>
      </c>
    </row>
    <row r="21" spans="1:15" ht="12.5" x14ac:dyDescent="0.25">
      <c r="A21" s="1" t="s">
        <v>64</v>
      </c>
      <c r="B21" s="1" t="s">
        <v>65</v>
      </c>
      <c r="C21" s="1" t="s">
        <v>56</v>
      </c>
      <c r="D21" s="1" t="s">
        <v>57</v>
      </c>
      <c r="E21" s="1" t="s">
        <v>23</v>
      </c>
      <c r="F21" s="1" t="s">
        <v>28</v>
      </c>
      <c r="G21" s="1">
        <v>11</v>
      </c>
      <c r="H21" s="1">
        <v>0</v>
      </c>
      <c r="I21" s="1">
        <v>0</v>
      </c>
      <c r="J21" s="1">
        <v>1</v>
      </c>
      <c r="K21" s="1">
        <v>50</v>
      </c>
      <c r="L21" s="1">
        <v>1.2</v>
      </c>
      <c r="M21" s="1">
        <f t="shared" si="0"/>
        <v>12</v>
      </c>
      <c r="N21" s="1">
        <f t="shared" si="1"/>
        <v>14.399999999999999</v>
      </c>
      <c r="O21" s="1">
        <f t="shared" si="2"/>
        <v>660</v>
      </c>
    </row>
    <row r="22" spans="1:15" ht="12.5" x14ac:dyDescent="0.25">
      <c r="A22" s="1" t="s">
        <v>66</v>
      </c>
      <c r="B22" s="1" t="s">
        <v>67</v>
      </c>
      <c r="C22" s="1" t="s">
        <v>56</v>
      </c>
      <c r="D22" s="1" t="s">
        <v>68</v>
      </c>
      <c r="E22" s="1" t="s">
        <v>19</v>
      </c>
      <c r="F22" s="1" t="s">
        <v>20</v>
      </c>
      <c r="G22" s="1">
        <v>16</v>
      </c>
      <c r="H22" s="1">
        <v>0</v>
      </c>
      <c r="I22" s="1">
        <v>1</v>
      </c>
      <c r="J22" s="1">
        <v>1</v>
      </c>
      <c r="K22" s="1">
        <v>45</v>
      </c>
      <c r="L22" s="1">
        <v>1.3</v>
      </c>
      <c r="M22" s="1">
        <f t="shared" si="0"/>
        <v>18</v>
      </c>
      <c r="N22" s="1">
        <f t="shared" si="1"/>
        <v>23.400000000000002</v>
      </c>
      <c r="O22" s="1">
        <f t="shared" si="2"/>
        <v>936</v>
      </c>
    </row>
    <row r="23" spans="1:15" ht="12.5" x14ac:dyDescent="0.25">
      <c r="A23" s="1" t="s">
        <v>69</v>
      </c>
      <c r="B23" s="1" t="s">
        <v>70</v>
      </c>
      <c r="C23" s="1" t="s">
        <v>56</v>
      </c>
      <c r="D23" s="1" t="s">
        <v>68</v>
      </c>
      <c r="E23" s="1" t="s">
        <v>23</v>
      </c>
      <c r="F23" s="1" t="s">
        <v>20</v>
      </c>
      <c r="G23" s="1">
        <v>15</v>
      </c>
      <c r="H23" s="1">
        <v>0</v>
      </c>
      <c r="I23" s="1">
        <v>2</v>
      </c>
      <c r="J23" s="1">
        <v>0</v>
      </c>
      <c r="K23" s="1">
        <v>42</v>
      </c>
      <c r="L23" s="1">
        <v>1.3</v>
      </c>
      <c r="M23" s="1">
        <f t="shared" si="0"/>
        <v>17</v>
      </c>
      <c r="N23" s="1">
        <f t="shared" si="1"/>
        <v>22.1</v>
      </c>
      <c r="O23" s="1">
        <f t="shared" si="2"/>
        <v>819</v>
      </c>
    </row>
    <row r="24" spans="1:15" ht="12.5" x14ac:dyDescent="0.25">
      <c r="A24" s="1" t="s">
        <v>71</v>
      </c>
      <c r="B24" s="1" t="s">
        <v>72</v>
      </c>
      <c r="C24" s="1" t="s">
        <v>56</v>
      </c>
      <c r="D24" s="1" t="s">
        <v>68</v>
      </c>
      <c r="E24" s="1" t="s">
        <v>19</v>
      </c>
      <c r="F24" s="1" t="s">
        <v>20</v>
      </c>
      <c r="G24" s="1">
        <v>14</v>
      </c>
      <c r="H24" s="1">
        <v>0</v>
      </c>
      <c r="I24" s="1">
        <v>1</v>
      </c>
      <c r="J24" s="1">
        <v>1</v>
      </c>
      <c r="K24" s="1">
        <v>48</v>
      </c>
      <c r="L24" s="1">
        <v>1.3</v>
      </c>
      <c r="M24" s="1">
        <f t="shared" si="0"/>
        <v>16</v>
      </c>
      <c r="N24" s="1">
        <f t="shared" si="1"/>
        <v>20.8</v>
      </c>
      <c r="O24" s="1">
        <f t="shared" si="2"/>
        <v>873.6</v>
      </c>
    </row>
    <row r="25" spans="1:15" ht="12.5" x14ac:dyDescent="0.25">
      <c r="A25" s="1" t="s">
        <v>73</v>
      </c>
      <c r="B25" s="1" t="s">
        <v>74</v>
      </c>
      <c r="C25" s="1" t="s">
        <v>56</v>
      </c>
      <c r="D25" s="1" t="s">
        <v>68</v>
      </c>
      <c r="E25" s="1" t="s">
        <v>23</v>
      </c>
      <c r="F25" s="1" t="s">
        <v>28</v>
      </c>
      <c r="G25" s="1">
        <v>12</v>
      </c>
      <c r="H25" s="1">
        <v>0</v>
      </c>
      <c r="I25" s="1">
        <v>0</v>
      </c>
      <c r="J25" s="1">
        <v>1</v>
      </c>
      <c r="K25" s="1">
        <v>40</v>
      </c>
      <c r="L25" s="1">
        <v>1.3</v>
      </c>
      <c r="M25" s="1">
        <f t="shared" si="0"/>
        <v>13</v>
      </c>
      <c r="N25" s="1">
        <f t="shared" si="1"/>
        <v>16.900000000000002</v>
      </c>
      <c r="O25" s="1">
        <f t="shared" si="2"/>
        <v>624</v>
      </c>
    </row>
    <row r="26" spans="1:15" ht="12.5" x14ac:dyDescent="0.25">
      <c r="A26" s="1" t="s">
        <v>75</v>
      </c>
      <c r="B26" s="1" t="s">
        <v>76</v>
      </c>
      <c r="C26" s="1" t="s">
        <v>56</v>
      </c>
      <c r="D26" s="1" t="s">
        <v>68</v>
      </c>
      <c r="E26" s="1" t="s">
        <v>19</v>
      </c>
      <c r="F26" s="1" t="s">
        <v>28</v>
      </c>
      <c r="G26" s="1">
        <v>13</v>
      </c>
      <c r="H26" s="1">
        <v>0</v>
      </c>
      <c r="I26" s="1">
        <v>1</v>
      </c>
      <c r="J26" s="1">
        <v>1</v>
      </c>
      <c r="K26" s="1">
        <v>44</v>
      </c>
      <c r="L26" s="1">
        <v>1.3</v>
      </c>
      <c r="M26" s="1">
        <f t="shared" si="0"/>
        <v>15</v>
      </c>
      <c r="N26" s="1">
        <f t="shared" si="1"/>
        <v>19.5</v>
      </c>
      <c r="O26" s="1">
        <f t="shared" si="2"/>
        <v>743.6</v>
      </c>
    </row>
    <row r="27" spans="1:15" ht="12.5" x14ac:dyDescent="0.25">
      <c r="A27" s="1" t="s">
        <v>77</v>
      </c>
      <c r="B27" s="1" t="s">
        <v>78</v>
      </c>
      <c r="C27" s="1" t="s">
        <v>79</v>
      </c>
      <c r="D27" s="1" t="s">
        <v>79</v>
      </c>
      <c r="E27" s="1" t="s">
        <v>23</v>
      </c>
      <c r="F27" s="1" t="s">
        <v>20</v>
      </c>
      <c r="G27" s="1">
        <v>14</v>
      </c>
      <c r="H27" s="1">
        <v>0</v>
      </c>
      <c r="I27" s="1">
        <v>1</v>
      </c>
      <c r="J27" s="1">
        <v>2</v>
      </c>
      <c r="K27" s="1">
        <v>50</v>
      </c>
      <c r="L27" s="1">
        <v>1</v>
      </c>
      <c r="M27" s="1">
        <f t="shared" si="0"/>
        <v>17</v>
      </c>
      <c r="N27" s="1">
        <f t="shared" si="1"/>
        <v>17</v>
      </c>
      <c r="O27" s="1">
        <f t="shared" si="2"/>
        <v>700</v>
      </c>
    </row>
    <row r="28" spans="1:15" ht="12.5" x14ac:dyDescent="0.25">
      <c r="A28" s="1" t="s">
        <v>80</v>
      </c>
      <c r="B28" s="1" t="s">
        <v>81</v>
      </c>
      <c r="C28" s="1" t="s">
        <v>79</v>
      </c>
      <c r="D28" s="1" t="s">
        <v>79</v>
      </c>
      <c r="E28" s="1" t="s">
        <v>19</v>
      </c>
      <c r="F28" s="1" t="s">
        <v>20</v>
      </c>
      <c r="G28" s="1">
        <v>16</v>
      </c>
      <c r="H28" s="1">
        <v>0</v>
      </c>
      <c r="I28" s="1">
        <v>2</v>
      </c>
      <c r="J28" s="1">
        <v>1</v>
      </c>
      <c r="K28" s="1">
        <v>55</v>
      </c>
      <c r="L28" s="1">
        <v>1</v>
      </c>
      <c r="M28" s="1">
        <f t="shared" si="0"/>
        <v>19</v>
      </c>
      <c r="N28" s="1">
        <f t="shared" si="1"/>
        <v>19</v>
      </c>
      <c r="O28" s="1">
        <f t="shared" si="2"/>
        <v>880</v>
      </c>
    </row>
    <row r="29" spans="1:15" ht="12.5" x14ac:dyDescent="0.25">
      <c r="A29" s="1" t="s">
        <v>82</v>
      </c>
      <c r="B29" s="1" t="s">
        <v>83</v>
      </c>
      <c r="C29" s="1" t="s">
        <v>79</v>
      </c>
      <c r="D29" s="1" t="s">
        <v>79</v>
      </c>
      <c r="E29" s="1" t="s">
        <v>23</v>
      </c>
      <c r="F29" s="1" t="s">
        <v>20</v>
      </c>
      <c r="G29" s="1">
        <v>13</v>
      </c>
      <c r="H29" s="1">
        <v>0</v>
      </c>
      <c r="I29" s="1">
        <v>1</v>
      </c>
      <c r="J29" s="1">
        <v>1</v>
      </c>
      <c r="K29" s="1">
        <v>48</v>
      </c>
      <c r="L29" s="1">
        <v>1</v>
      </c>
      <c r="M29" s="1">
        <f t="shared" si="0"/>
        <v>15</v>
      </c>
      <c r="N29" s="1">
        <f t="shared" si="1"/>
        <v>15</v>
      </c>
      <c r="O29" s="1">
        <f t="shared" si="2"/>
        <v>624</v>
      </c>
    </row>
    <row r="30" spans="1:15" ht="12.5" x14ac:dyDescent="0.25">
      <c r="A30" s="1" t="s">
        <v>84</v>
      </c>
      <c r="B30" s="1" t="s">
        <v>85</v>
      </c>
      <c r="C30" s="1" t="s">
        <v>79</v>
      </c>
      <c r="D30" s="1" t="s">
        <v>79</v>
      </c>
      <c r="E30" s="1" t="s">
        <v>19</v>
      </c>
      <c r="F30" s="1" t="s">
        <v>28</v>
      </c>
      <c r="G30" s="1">
        <v>12</v>
      </c>
      <c r="H30" s="1">
        <v>0</v>
      </c>
      <c r="I30" s="1">
        <v>0</v>
      </c>
      <c r="J30" s="1">
        <v>1</v>
      </c>
      <c r="K30" s="1">
        <v>45</v>
      </c>
      <c r="L30" s="1">
        <v>1</v>
      </c>
      <c r="M30" s="1">
        <f t="shared" si="0"/>
        <v>13</v>
      </c>
      <c r="N30" s="1">
        <f t="shared" si="1"/>
        <v>13</v>
      </c>
      <c r="O30" s="1">
        <f t="shared" si="2"/>
        <v>540</v>
      </c>
    </row>
    <row r="31" spans="1:15" ht="12.5" x14ac:dyDescent="0.25">
      <c r="A31" s="1" t="s">
        <v>86</v>
      </c>
      <c r="B31" s="1" t="s">
        <v>87</v>
      </c>
      <c r="C31" s="1" t="s">
        <v>79</v>
      </c>
      <c r="D31" s="1" t="s">
        <v>79</v>
      </c>
      <c r="E31" s="1" t="s">
        <v>23</v>
      </c>
      <c r="F31" s="1" t="s">
        <v>28</v>
      </c>
      <c r="G31" s="1">
        <v>11</v>
      </c>
      <c r="H31" s="1">
        <v>0</v>
      </c>
      <c r="I31" s="1">
        <v>1</v>
      </c>
      <c r="J31" s="1">
        <v>1</v>
      </c>
      <c r="K31" s="1">
        <v>50</v>
      </c>
      <c r="L31" s="1">
        <v>1</v>
      </c>
      <c r="M31" s="1">
        <f t="shared" si="0"/>
        <v>13</v>
      </c>
      <c r="N31" s="1">
        <f t="shared" si="1"/>
        <v>13</v>
      </c>
      <c r="O31" s="1">
        <f t="shared" si="2"/>
        <v>550</v>
      </c>
    </row>
    <row r="32" spans="1:15" ht="15.75" customHeight="1" x14ac:dyDescent="0.25">
      <c r="A32" s="1" t="s">
        <v>88</v>
      </c>
      <c r="B32" s="1" t="s">
        <v>89</v>
      </c>
      <c r="C32" s="1" t="s">
        <v>17</v>
      </c>
      <c r="D32" s="1" t="s">
        <v>18</v>
      </c>
      <c r="E32" s="1" t="s">
        <v>19</v>
      </c>
      <c r="F32" s="1" t="s">
        <v>20</v>
      </c>
      <c r="G32" s="1">
        <v>12</v>
      </c>
      <c r="H32" s="1">
        <v>8</v>
      </c>
      <c r="I32" s="1">
        <v>1</v>
      </c>
      <c r="J32" s="1">
        <v>1</v>
      </c>
      <c r="K32" s="1">
        <v>38</v>
      </c>
      <c r="L32" s="1">
        <v>1.3</v>
      </c>
      <c r="M32" s="1">
        <f t="shared" si="0"/>
        <v>22</v>
      </c>
      <c r="N32" s="1">
        <f t="shared" si="1"/>
        <v>28.6</v>
      </c>
      <c r="O32" s="1">
        <f t="shared" si="2"/>
        <v>592.80000000000007</v>
      </c>
    </row>
    <row r="33" spans="1:15" ht="15.75" customHeight="1" x14ac:dyDescent="0.25">
      <c r="A33" s="1" t="s">
        <v>90</v>
      </c>
      <c r="B33" s="1" t="s">
        <v>91</v>
      </c>
      <c r="C33" s="1" t="s">
        <v>17</v>
      </c>
      <c r="D33" s="1" t="s">
        <v>18</v>
      </c>
      <c r="E33" s="1" t="s">
        <v>23</v>
      </c>
      <c r="F33" s="1" t="s">
        <v>20</v>
      </c>
      <c r="G33" s="1">
        <v>11</v>
      </c>
      <c r="H33" s="1">
        <v>8</v>
      </c>
      <c r="I33" s="1">
        <v>2</v>
      </c>
      <c r="J33" s="1">
        <v>0</v>
      </c>
      <c r="K33" s="1">
        <v>36</v>
      </c>
      <c r="L33" s="1">
        <v>1.3</v>
      </c>
      <c r="M33" s="1">
        <f t="shared" si="0"/>
        <v>21</v>
      </c>
      <c r="N33" s="1">
        <f t="shared" si="1"/>
        <v>27.3</v>
      </c>
      <c r="O33" s="1">
        <f t="shared" si="2"/>
        <v>514.80000000000007</v>
      </c>
    </row>
    <row r="34" spans="1:15" ht="15.75" customHeight="1" x14ac:dyDescent="0.25">
      <c r="A34" s="1" t="s">
        <v>92</v>
      </c>
      <c r="B34" s="1" t="s">
        <v>93</v>
      </c>
      <c r="C34" s="1" t="s">
        <v>17</v>
      </c>
      <c r="D34" s="1" t="s">
        <v>18</v>
      </c>
      <c r="E34" s="1" t="s">
        <v>19</v>
      </c>
      <c r="F34" s="1" t="s">
        <v>20</v>
      </c>
      <c r="G34" s="1">
        <v>13</v>
      </c>
      <c r="H34" s="1">
        <v>8</v>
      </c>
      <c r="I34" s="1">
        <v>1</v>
      </c>
      <c r="J34" s="1">
        <v>1</v>
      </c>
      <c r="K34" s="1">
        <v>40</v>
      </c>
      <c r="L34" s="1">
        <v>1.3</v>
      </c>
      <c r="M34" s="1">
        <f t="shared" si="0"/>
        <v>23</v>
      </c>
      <c r="N34" s="1">
        <f t="shared" si="1"/>
        <v>29.900000000000002</v>
      </c>
      <c r="O34" s="1">
        <f t="shared" si="2"/>
        <v>676</v>
      </c>
    </row>
    <row r="35" spans="1:15" ht="15.75" customHeight="1" x14ac:dyDescent="0.25">
      <c r="A35" s="1" t="s">
        <v>94</v>
      </c>
      <c r="B35" s="1" t="s">
        <v>95</v>
      </c>
      <c r="C35" s="1" t="s">
        <v>17</v>
      </c>
      <c r="D35" s="1" t="s">
        <v>18</v>
      </c>
      <c r="E35" s="1" t="s">
        <v>23</v>
      </c>
      <c r="F35" s="1" t="s">
        <v>28</v>
      </c>
      <c r="G35" s="1">
        <v>10</v>
      </c>
      <c r="H35" s="1">
        <v>8</v>
      </c>
      <c r="I35" s="1">
        <v>0</v>
      </c>
      <c r="J35" s="1">
        <v>1</v>
      </c>
      <c r="K35" s="1">
        <v>34</v>
      </c>
      <c r="L35" s="1">
        <v>1.3</v>
      </c>
      <c r="M35" s="1">
        <f t="shared" si="0"/>
        <v>19</v>
      </c>
      <c r="N35" s="1">
        <f t="shared" si="1"/>
        <v>24.7</v>
      </c>
      <c r="O35" s="1">
        <f t="shared" si="2"/>
        <v>442</v>
      </c>
    </row>
    <row r="36" spans="1:15" ht="15.75" customHeight="1" x14ac:dyDescent="0.25">
      <c r="A36" s="1" t="s">
        <v>96</v>
      </c>
      <c r="B36" s="1" t="s">
        <v>97</v>
      </c>
      <c r="C36" s="1" t="s">
        <v>17</v>
      </c>
      <c r="D36" s="1" t="s">
        <v>18</v>
      </c>
      <c r="E36" s="1" t="s">
        <v>19</v>
      </c>
      <c r="F36" s="1" t="s">
        <v>28</v>
      </c>
      <c r="G36" s="1">
        <v>9</v>
      </c>
      <c r="H36" s="1">
        <v>8</v>
      </c>
      <c r="I36" s="1">
        <v>1</v>
      </c>
      <c r="J36" s="1">
        <v>0</v>
      </c>
      <c r="K36" s="1">
        <v>33</v>
      </c>
      <c r="L36" s="1">
        <v>1.3</v>
      </c>
      <c r="M36" s="1">
        <f t="shared" si="0"/>
        <v>18</v>
      </c>
      <c r="N36" s="1">
        <f t="shared" si="1"/>
        <v>23.400000000000002</v>
      </c>
      <c r="O36" s="1">
        <f t="shared" si="2"/>
        <v>386.1</v>
      </c>
    </row>
    <row r="37" spans="1:15" ht="15.75" customHeight="1" x14ac:dyDescent="0.25">
      <c r="A37" s="1" t="s">
        <v>98</v>
      </c>
      <c r="B37" s="1" t="s">
        <v>99</v>
      </c>
      <c r="C37" s="1" t="s">
        <v>17</v>
      </c>
      <c r="D37" s="2" t="s">
        <v>39</v>
      </c>
      <c r="E37" s="1" t="s">
        <v>23</v>
      </c>
      <c r="F37" s="1" t="s">
        <v>20</v>
      </c>
      <c r="G37" s="1">
        <v>14</v>
      </c>
      <c r="H37" s="1">
        <v>0</v>
      </c>
      <c r="I37" s="1">
        <v>2</v>
      </c>
      <c r="J37" s="1">
        <v>1</v>
      </c>
      <c r="K37" s="1">
        <v>46</v>
      </c>
      <c r="L37" s="1">
        <v>1.2</v>
      </c>
      <c r="M37" s="1">
        <f t="shared" si="0"/>
        <v>17</v>
      </c>
      <c r="N37" s="1">
        <f t="shared" si="1"/>
        <v>20.399999999999999</v>
      </c>
      <c r="O37" s="1">
        <f t="shared" si="2"/>
        <v>772.8</v>
      </c>
    </row>
    <row r="38" spans="1:15" ht="15.75" customHeight="1" x14ac:dyDescent="0.25">
      <c r="A38" s="1" t="s">
        <v>100</v>
      </c>
      <c r="B38" s="1" t="s">
        <v>101</v>
      </c>
      <c r="C38" s="1" t="s">
        <v>17</v>
      </c>
      <c r="D38" s="2" t="s">
        <v>39</v>
      </c>
      <c r="E38" s="1" t="s">
        <v>19</v>
      </c>
      <c r="F38" s="1" t="s">
        <v>20</v>
      </c>
      <c r="G38" s="1">
        <v>13</v>
      </c>
      <c r="H38" s="1">
        <v>0</v>
      </c>
      <c r="I38" s="1">
        <v>1</v>
      </c>
      <c r="J38" s="1">
        <v>1</v>
      </c>
      <c r="K38" s="1">
        <v>50</v>
      </c>
      <c r="L38" s="1">
        <v>1.2</v>
      </c>
      <c r="M38" s="1">
        <f t="shared" si="0"/>
        <v>15</v>
      </c>
      <c r="N38" s="1">
        <f t="shared" si="1"/>
        <v>18</v>
      </c>
      <c r="O38" s="1">
        <f t="shared" si="2"/>
        <v>780</v>
      </c>
    </row>
    <row r="39" spans="1:15" ht="15.75" customHeight="1" x14ac:dyDescent="0.25">
      <c r="A39" s="1" t="s">
        <v>102</v>
      </c>
      <c r="B39" s="1" t="s">
        <v>103</v>
      </c>
      <c r="C39" s="1" t="s">
        <v>17</v>
      </c>
      <c r="D39" s="2" t="s">
        <v>39</v>
      </c>
      <c r="E39" s="1" t="s">
        <v>23</v>
      </c>
      <c r="F39" s="1" t="s">
        <v>28</v>
      </c>
      <c r="G39" s="1">
        <v>12</v>
      </c>
      <c r="H39" s="1">
        <v>0</v>
      </c>
      <c r="I39" s="1">
        <v>1</v>
      </c>
      <c r="J39" s="1">
        <v>1</v>
      </c>
      <c r="K39" s="1">
        <v>44</v>
      </c>
      <c r="L39" s="1">
        <v>1.2</v>
      </c>
      <c r="M39" s="1">
        <f t="shared" si="0"/>
        <v>14</v>
      </c>
      <c r="N39" s="1">
        <f t="shared" si="1"/>
        <v>16.8</v>
      </c>
      <c r="O39" s="1">
        <f t="shared" si="2"/>
        <v>633.6</v>
      </c>
    </row>
    <row r="40" spans="1:15" ht="15.75" customHeight="1" x14ac:dyDescent="0.25">
      <c r="A40" s="1" t="s">
        <v>104</v>
      </c>
      <c r="B40" s="1" t="s">
        <v>105</v>
      </c>
      <c r="C40" s="1" t="s">
        <v>44</v>
      </c>
      <c r="D40" s="2" t="s">
        <v>45</v>
      </c>
      <c r="E40" s="1" t="s">
        <v>19</v>
      </c>
      <c r="F40" s="1" t="s">
        <v>20</v>
      </c>
      <c r="G40" s="1">
        <v>15</v>
      </c>
      <c r="H40" s="1">
        <v>0</v>
      </c>
      <c r="I40" s="1">
        <v>2</v>
      </c>
      <c r="J40" s="1">
        <v>1</v>
      </c>
      <c r="K40" s="1">
        <v>62</v>
      </c>
      <c r="L40" s="1">
        <v>1.1000000000000001</v>
      </c>
      <c r="M40" s="1">
        <f t="shared" si="0"/>
        <v>18</v>
      </c>
      <c r="N40" s="1">
        <f t="shared" si="1"/>
        <v>19.8</v>
      </c>
      <c r="O40" s="1">
        <f t="shared" si="2"/>
        <v>1023.0000000000001</v>
      </c>
    </row>
    <row r="41" spans="1:15" ht="15.75" customHeight="1" x14ac:dyDescent="0.25">
      <c r="A41" s="1" t="s">
        <v>106</v>
      </c>
      <c r="B41" s="1" t="s">
        <v>107</v>
      </c>
      <c r="C41" s="1" t="s">
        <v>44</v>
      </c>
      <c r="D41" s="2" t="s">
        <v>45</v>
      </c>
      <c r="E41" s="1" t="s">
        <v>23</v>
      </c>
      <c r="F41" s="1" t="s">
        <v>20</v>
      </c>
      <c r="G41" s="1">
        <v>14</v>
      </c>
      <c r="H41" s="1">
        <v>0</v>
      </c>
      <c r="I41" s="1">
        <v>1</v>
      </c>
      <c r="J41" s="1">
        <v>1</v>
      </c>
      <c r="K41" s="1">
        <v>68</v>
      </c>
      <c r="L41" s="1">
        <v>1.1000000000000001</v>
      </c>
      <c r="M41" s="1">
        <f t="shared" si="0"/>
        <v>16</v>
      </c>
      <c r="N41" s="1">
        <f t="shared" si="1"/>
        <v>17.600000000000001</v>
      </c>
      <c r="O41" s="1">
        <f t="shared" si="2"/>
        <v>1047.2</v>
      </c>
    </row>
    <row r="42" spans="1:15" ht="15.75" customHeight="1" x14ac:dyDescent="0.25">
      <c r="A42" s="1" t="s">
        <v>108</v>
      </c>
      <c r="B42" s="1" t="s">
        <v>109</v>
      </c>
      <c r="C42" s="1" t="s">
        <v>56</v>
      </c>
      <c r="D42" s="1" t="s">
        <v>68</v>
      </c>
      <c r="E42" s="1" t="s">
        <v>19</v>
      </c>
      <c r="F42" s="1" t="s">
        <v>28</v>
      </c>
      <c r="G42" s="1">
        <v>13</v>
      </c>
      <c r="H42" s="1">
        <v>0</v>
      </c>
      <c r="I42" s="1">
        <v>0</v>
      </c>
      <c r="J42" s="1">
        <v>1</v>
      </c>
      <c r="K42" s="1">
        <v>41</v>
      </c>
      <c r="L42" s="1">
        <v>1.3</v>
      </c>
      <c r="M42" s="1">
        <f t="shared" si="0"/>
        <v>14</v>
      </c>
      <c r="N42" s="1">
        <f t="shared" si="1"/>
        <v>18.2</v>
      </c>
      <c r="O42" s="1">
        <f t="shared" si="2"/>
        <v>692.9</v>
      </c>
    </row>
    <row r="43" spans="1:15" ht="15.75" customHeight="1" x14ac:dyDescent="0.25">
      <c r="A43" s="1" t="s">
        <v>110</v>
      </c>
      <c r="B43" s="1" t="s">
        <v>111</v>
      </c>
      <c r="C43" s="1" t="s">
        <v>79</v>
      </c>
      <c r="D43" s="1" t="s">
        <v>79</v>
      </c>
      <c r="E43" s="1" t="s">
        <v>23</v>
      </c>
      <c r="F43" s="1" t="s">
        <v>20</v>
      </c>
      <c r="G43" s="1">
        <v>14</v>
      </c>
      <c r="H43" s="1">
        <v>0</v>
      </c>
      <c r="I43" s="1">
        <v>1</v>
      </c>
      <c r="J43" s="1">
        <v>2</v>
      </c>
      <c r="K43" s="1">
        <v>52</v>
      </c>
      <c r="L43" s="1">
        <v>1</v>
      </c>
      <c r="M43" s="1">
        <f t="shared" si="0"/>
        <v>17</v>
      </c>
      <c r="N43" s="1">
        <f t="shared" si="1"/>
        <v>17</v>
      </c>
      <c r="O43" s="1">
        <f t="shared" si="2"/>
        <v>728</v>
      </c>
    </row>
    <row r="44" spans="1:15" ht="15.75" customHeight="1" x14ac:dyDescent="0.25">
      <c r="A44" s="1" t="s">
        <v>112</v>
      </c>
      <c r="B44" s="1" t="s">
        <v>113</v>
      </c>
      <c r="C44" s="1" t="s">
        <v>79</v>
      </c>
      <c r="D44" s="1" t="s">
        <v>79</v>
      </c>
      <c r="E44" s="1" t="s">
        <v>19</v>
      </c>
      <c r="F44" s="1" t="s">
        <v>20</v>
      </c>
      <c r="G44" s="1">
        <v>15</v>
      </c>
      <c r="H44" s="1">
        <v>0</v>
      </c>
      <c r="I44" s="1">
        <v>2</v>
      </c>
      <c r="J44" s="1">
        <v>1</v>
      </c>
      <c r="K44" s="1">
        <v>58</v>
      </c>
      <c r="L44" s="1">
        <v>1</v>
      </c>
      <c r="M44" s="1">
        <f t="shared" si="0"/>
        <v>18</v>
      </c>
      <c r="N44" s="1">
        <f t="shared" si="1"/>
        <v>18</v>
      </c>
      <c r="O44" s="1">
        <f t="shared" si="2"/>
        <v>870</v>
      </c>
    </row>
    <row r="45" spans="1:15" ht="15.75" customHeight="1" x14ac:dyDescent="0.25">
      <c r="A45" s="1" t="s">
        <v>114</v>
      </c>
      <c r="B45" s="1" t="s">
        <v>115</v>
      </c>
      <c r="C45" s="1" t="s">
        <v>79</v>
      </c>
      <c r="D45" s="1" t="s">
        <v>79</v>
      </c>
      <c r="E45" s="1" t="s">
        <v>23</v>
      </c>
      <c r="F45" s="1" t="s">
        <v>20</v>
      </c>
      <c r="G45" s="1">
        <v>12</v>
      </c>
      <c r="H45" s="1">
        <v>0</v>
      </c>
      <c r="I45" s="1">
        <v>1</v>
      </c>
      <c r="J45" s="1">
        <v>1</v>
      </c>
      <c r="K45" s="1">
        <v>46</v>
      </c>
      <c r="L45" s="1">
        <v>1</v>
      </c>
      <c r="M45" s="1">
        <f t="shared" si="0"/>
        <v>14</v>
      </c>
      <c r="N45" s="1">
        <f t="shared" si="1"/>
        <v>14</v>
      </c>
      <c r="O45" s="1">
        <f t="shared" si="2"/>
        <v>552</v>
      </c>
    </row>
    <row r="46" spans="1:15" ht="12.5" x14ac:dyDescent="0.25">
      <c r="A46" s="1" t="s">
        <v>116</v>
      </c>
      <c r="B46" s="1" t="s">
        <v>117</v>
      </c>
      <c r="C46" s="1" t="s">
        <v>79</v>
      </c>
      <c r="D46" s="1" t="s">
        <v>79</v>
      </c>
      <c r="E46" s="1" t="s">
        <v>19</v>
      </c>
      <c r="F46" s="1" t="s">
        <v>28</v>
      </c>
      <c r="G46" s="1">
        <v>11</v>
      </c>
      <c r="H46" s="1">
        <v>0</v>
      </c>
      <c r="I46" s="1">
        <v>0</v>
      </c>
      <c r="J46" s="1">
        <v>1</v>
      </c>
      <c r="K46" s="1">
        <v>48</v>
      </c>
      <c r="L46" s="1">
        <v>1</v>
      </c>
      <c r="M46" s="1">
        <f t="shared" si="0"/>
        <v>12</v>
      </c>
      <c r="N46" s="1">
        <f t="shared" si="1"/>
        <v>12</v>
      </c>
      <c r="O46" s="1">
        <f t="shared" si="2"/>
        <v>528</v>
      </c>
    </row>
    <row r="47" spans="1:15" ht="12.5" x14ac:dyDescent="0.25">
      <c r="A47" s="1" t="s">
        <v>118</v>
      </c>
      <c r="B47" s="1" t="s">
        <v>119</v>
      </c>
      <c r="C47" s="1" t="s">
        <v>17</v>
      </c>
      <c r="D47" s="1" t="s">
        <v>18</v>
      </c>
      <c r="E47" s="1" t="s">
        <v>19</v>
      </c>
      <c r="F47" s="1" t="s">
        <v>20</v>
      </c>
      <c r="G47" s="1">
        <v>12</v>
      </c>
      <c r="H47" s="1">
        <v>8</v>
      </c>
      <c r="I47" s="1">
        <v>2</v>
      </c>
      <c r="J47" s="1">
        <v>1</v>
      </c>
      <c r="K47" s="1">
        <v>39</v>
      </c>
      <c r="L47" s="1">
        <v>1.3</v>
      </c>
      <c r="M47" s="1">
        <f t="shared" si="0"/>
        <v>23</v>
      </c>
      <c r="N47" s="1">
        <f t="shared" si="1"/>
        <v>29.900000000000002</v>
      </c>
      <c r="O47" s="1">
        <f t="shared" si="2"/>
        <v>608.4</v>
      </c>
    </row>
    <row r="48" spans="1:15" ht="12.5" x14ac:dyDescent="0.25">
      <c r="A48" s="1" t="s">
        <v>120</v>
      </c>
      <c r="B48" s="1" t="s">
        <v>121</v>
      </c>
      <c r="C48" s="1" t="s">
        <v>17</v>
      </c>
      <c r="D48" s="1" t="s">
        <v>18</v>
      </c>
      <c r="E48" s="1" t="s">
        <v>23</v>
      </c>
      <c r="F48" s="1" t="s">
        <v>20</v>
      </c>
      <c r="G48" s="1">
        <v>11</v>
      </c>
      <c r="H48" s="1">
        <v>8</v>
      </c>
      <c r="I48" s="1">
        <v>1</v>
      </c>
      <c r="J48" s="1">
        <v>0</v>
      </c>
      <c r="K48" s="1">
        <v>37</v>
      </c>
      <c r="L48" s="1">
        <v>1.3</v>
      </c>
      <c r="M48" s="1">
        <f t="shared" si="0"/>
        <v>20</v>
      </c>
      <c r="N48" s="1">
        <f t="shared" si="1"/>
        <v>26</v>
      </c>
      <c r="O48" s="1">
        <f t="shared" si="2"/>
        <v>529.1</v>
      </c>
    </row>
    <row r="49" spans="1:15" ht="12.5" x14ac:dyDescent="0.25">
      <c r="A49" s="1" t="s">
        <v>122</v>
      </c>
      <c r="B49" s="1" t="s">
        <v>123</v>
      </c>
      <c r="C49" s="1" t="s">
        <v>17</v>
      </c>
      <c r="D49" s="1" t="s">
        <v>18</v>
      </c>
      <c r="E49" s="1" t="s">
        <v>19</v>
      </c>
      <c r="F49" s="1" t="s">
        <v>28</v>
      </c>
      <c r="G49" s="1">
        <v>10</v>
      </c>
      <c r="H49" s="1">
        <v>8</v>
      </c>
      <c r="I49" s="1">
        <v>0</v>
      </c>
      <c r="J49" s="1">
        <v>1</v>
      </c>
      <c r="K49" s="1">
        <v>35</v>
      </c>
      <c r="L49" s="1">
        <v>1.3</v>
      </c>
      <c r="M49" s="1">
        <f t="shared" si="0"/>
        <v>19</v>
      </c>
      <c r="N49" s="1">
        <f t="shared" si="1"/>
        <v>24.7</v>
      </c>
      <c r="O49" s="1">
        <f t="shared" si="2"/>
        <v>455</v>
      </c>
    </row>
    <row r="50" spans="1:15" ht="12.5" x14ac:dyDescent="0.25">
      <c r="A50" s="1" t="s">
        <v>124</v>
      </c>
      <c r="B50" s="1" t="s">
        <v>125</v>
      </c>
      <c r="C50" s="1" t="s">
        <v>44</v>
      </c>
      <c r="D50" s="2" t="s">
        <v>45</v>
      </c>
      <c r="E50" s="1" t="s">
        <v>19</v>
      </c>
      <c r="F50" s="1" t="s">
        <v>20</v>
      </c>
      <c r="G50" s="1">
        <v>15</v>
      </c>
      <c r="H50" s="1">
        <v>0</v>
      </c>
      <c r="I50" s="1">
        <v>2</v>
      </c>
      <c r="J50" s="1">
        <v>1</v>
      </c>
      <c r="K50" s="1">
        <v>66</v>
      </c>
      <c r="L50" s="1">
        <v>1.1000000000000001</v>
      </c>
      <c r="M50" s="1">
        <f t="shared" si="0"/>
        <v>18</v>
      </c>
      <c r="N50" s="1">
        <f t="shared" si="1"/>
        <v>19.8</v>
      </c>
      <c r="O50" s="1">
        <f t="shared" si="2"/>
        <v>1089</v>
      </c>
    </row>
    <row r="51" spans="1:15" ht="12.5" x14ac:dyDescent="0.25">
      <c r="A51" s="1" t="s">
        <v>126</v>
      </c>
      <c r="B51" s="1" t="s">
        <v>127</v>
      </c>
      <c r="C51" s="1" t="s">
        <v>44</v>
      </c>
      <c r="D51" s="2" t="s">
        <v>45</v>
      </c>
      <c r="E51" s="1" t="s">
        <v>23</v>
      </c>
      <c r="F51" s="1" t="s">
        <v>20</v>
      </c>
      <c r="G51" s="1">
        <v>14</v>
      </c>
      <c r="H51" s="1">
        <v>0</v>
      </c>
      <c r="I51" s="1">
        <v>1</v>
      </c>
      <c r="J51" s="1">
        <v>1</v>
      </c>
      <c r="K51" s="1">
        <v>64</v>
      </c>
      <c r="L51" s="1">
        <v>1.1000000000000001</v>
      </c>
      <c r="M51" s="1">
        <f t="shared" si="0"/>
        <v>16</v>
      </c>
      <c r="N51" s="1">
        <f t="shared" si="1"/>
        <v>17.600000000000001</v>
      </c>
      <c r="O51" s="1">
        <f t="shared" si="2"/>
        <v>985.60000000000014</v>
      </c>
    </row>
    <row r="52" spans="1:15" ht="12.5" x14ac:dyDescent="0.25">
      <c r="A52" s="1" t="s">
        <v>128</v>
      </c>
      <c r="B52" s="1" t="s">
        <v>129</v>
      </c>
      <c r="C52" s="1" t="s">
        <v>56</v>
      </c>
      <c r="D52" s="1" t="s">
        <v>57</v>
      </c>
      <c r="E52" s="1" t="s">
        <v>19</v>
      </c>
      <c r="F52" s="1" t="s">
        <v>20</v>
      </c>
      <c r="G52" s="1">
        <v>13</v>
      </c>
      <c r="H52" s="1">
        <v>0</v>
      </c>
      <c r="I52" s="1">
        <v>2</v>
      </c>
      <c r="J52" s="1">
        <v>1</v>
      </c>
      <c r="K52" s="1">
        <v>50</v>
      </c>
      <c r="L52" s="1">
        <v>1.2</v>
      </c>
      <c r="M52" s="1">
        <f t="shared" si="0"/>
        <v>16</v>
      </c>
      <c r="N52" s="1">
        <f t="shared" si="1"/>
        <v>19.2</v>
      </c>
      <c r="O52" s="1">
        <f t="shared" si="2"/>
        <v>780</v>
      </c>
    </row>
    <row r="53" spans="1:15" ht="12.5" x14ac:dyDescent="0.25">
      <c r="A53" s="1" t="s">
        <v>130</v>
      </c>
      <c r="B53" s="1" t="s">
        <v>131</v>
      </c>
      <c r="C53" s="1" t="s">
        <v>56</v>
      </c>
      <c r="D53" s="1" t="s">
        <v>57</v>
      </c>
      <c r="E53" s="1" t="s">
        <v>23</v>
      </c>
      <c r="F53" s="1" t="s">
        <v>28</v>
      </c>
      <c r="G53" s="1">
        <v>12</v>
      </c>
      <c r="H53" s="1">
        <v>0</v>
      </c>
      <c r="I53" s="1">
        <v>1</v>
      </c>
      <c r="J53" s="1">
        <v>1</v>
      </c>
      <c r="K53" s="1">
        <v>46</v>
      </c>
      <c r="L53" s="1">
        <v>1.2</v>
      </c>
      <c r="M53" s="1">
        <f t="shared" si="0"/>
        <v>14</v>
      </c>
      <c r="N53" s="1">
        <f t="shared" si="1"/>
        <v>16.8</v>
      </c>
      <c r="O53" s="1">
        <f t="shared" si="2"/>
        <v>662.4</v>
      </c>
    </row>
    <row r="54" spans="1:15" ht="12.5" x14ac:dyDescent="0.25">
      <c r="A54" s="1" t="s">
        <v>132</v>
      </c>
      <c r="B54" s="1" t="s">
        <v>133</v>
      </c>
      <c r="C54" s="1" t="s">
        <v>56</v>
      </c>
      <c r="D54" s="1" t="s">
        <v>57</v>
      </c>
      <c r="E54" s="1" t="s">
        <v>19</v>
      </c>
      <c r="F54" s="1" t="s">
        <v>28</v>
      </c>
      <c r="G54" s="1">
        <v>11</v>
      </c>
      <c r="H54" s="1">
        <v>0</v>
      </c>
      <c r="I54" s="1">
        <v>0</v>
      </c>
      <c r="J54" s="1">
        <v>1</v>
      </c>
      <c r="K54" s="1">
        <v>48</v>
      </c>
      <c r="L54" s="1">
        <v>1.2</v>
      </c>
      <c r="M54" s="1">
        <f t="shared" si="0"/>
        <v>12</v>
      </c>
      <c r="N54" s="1">
        <f t="shared" si="1"/>
        <v>14.399999999999999</v>
      </c>
      <c r="O54" s="1">
        <f t="shared" si="2"/>
        <v>633.6</v>
      </c>
    </row>
    <row r="55" spans="1:15" ht="12.5" x14ac:dyDescent="0.25">
      <c r="A55" s="1" t="s">
        <v>134</v>
      </c>
      <c r="B55" s="1" t="s">
        <v>135</v>
      </c>
      <c r="C55" s="1" t="s">
        <v>56</v>
      </c>
      <c r="D55" s="1" t="s">
        <v>68</v>
      </c>
      <c r="E55" s="1" t="s">
        <v>23</v>
      </c>
      <c r="F55" s="1" t="s">
        <v>20</v>
      </c>
      <c r="G55" s="1">
        <v>16</v>
      </c>
      <c r="H55" s="1">
        <v>0</v>
      </c>
      <c r="I55" s="1">
        <v>1</v>
      </c>
      <c r="J55" s="1">
        <v>0</v>
      </c>
      <c r="K55" s="1">
        <v>46</v>
      </c>
      <c r="L55" s="1">
        <v>1.3</v>
      </c>
      <c r="M55" s="1">
        <f t="shared" si="0"/>
        <v>17</v>
      </c>
      <c r="N55" s="1">
        <f t="shared" si="1"/>
        <v>22.1</v>
      </c>
      <c r="O55" s="1">
        <f t="shared" si="2"/>
        <v>956.80000000000007</v>
      </c>
    </row>
    <row r="56" spans="1:15" ht="12.5" x14ac:dyDescent="0.25">
      <c r="A56" s="1" t="s">
        <v>136</v>
      </c>
      <c r="B56" s="1" t="s">
        <v>137</v>
      </c>
      <c r="C56" s="1" t="s">
        <v>56</v>
      </c>
      <c r="D56" s="1" t="s">
        <v>68</v>
      </c>
      <c r="E56" s="1" t="s">
        <v>19</v>
      </c>
      <c r="F56" s="1" t="s">
        <v>20</v>
      </c>
      <c r="G56" s="1">
        <v>15</v>
      </c>
      <c r="H56" s="1">
        <v>0</v>
      </c>
      <c r="I56" s="1">
        <v>2</v>
      </c>
      <c r="J56" s="1">
        <v>1</v>
      </c>
      <c r="K56" s="1">
        <v>43</v>
      </c>
      <c r="L56" s="1">
        <v>1.3</v>
      </c>
      <c r="M56" s="1">
        <f t="shared" si="0"/>
        <v>18</v>
      </c>
      <c r="N56" s="1">
        <f t="shared" si="1"/>
        <v>23.400000000000002</v>
      </c>
      <c r="O56" s="1">
        <f t="shared" si="2"/>
        <v>838.5</v>
      </c>
    </row>
    <row r="57" spans="1:15" ht="12.5" x14ac:dyDescent="0.25">
      <c r="A57" s="1" t="s">
        <v>138</v>
      </c>
      <c r="B57" s="1" t="s">
        <v>139</v>
      </c>
      <c r="C57" s="1" t="s">
        <v>56</v>
      </c>
      <c r="D57" s="1" t="s">
        <v>68</v>
      </c>
      <c r="E57" s="1" t="s">
        <v>23</v>
      </c>
      <c r="F57" s="1" t="s">
        <v>20</v>
      </c>
      <c r="G57" s="1">
        <v>14</v>
      </c>
      <c r="H57" s="1">
        <v>0</v>
      </c>
      <c r="I57" s="1">
        <v>1</v>
      </c>
      <c r="J57" s="1">
        <v>1</v>
      </c>
      <c r="K57" s="1">
        <v>47</v>
      </c>
      <c r="L57" s="1">
        <v>1.3</v>
      </c>
      <c r="M57" s="1">
        <f t="shared" si="0"/>
        <v>16</v>
      </c>
      <c r="N57" s="1">
        <f t="shared" si="1"/>
        <v>20.8</v>
      </c>
      <c r="O57" s="1">
        <f t="shared" si="2"/>
        <v>855.4</v>
      </c>
    </row>
    <row r="58" spans="1:15" ht="12.5" x14ac:dyDescent="0.25">
      <c r="A58" s="1" t="s">
        <v>140</v>
      </c>
      <c r="B58" s="1" t="s">
        <v>141</v>
      </c>
      <c r="C58" s="1" t="s">
        <v>56</v>
      </c>
      <c r="D58" s="1" t="s">
        <v>57</v>
      </c>
      <c r="E58" s="1" t="s">
        <v>19</v>
      </c>
      <c r="F58" s="1" t="s">
        <v>20</v>
      </c>
      <c r="G58" s="1">
        <v>14</v>
      </c>
      <c r="H58" s="1">
        <v>0</v>
      </c>
      <c r="I58" s="1">
        <v>2</v>
      </c>
      <c r="J58" s="1">
        <v>1</v>
      </c>
      <c r="K58" s="1">
        <v>51</v>
      </c>
      <c r="L58" s="1">
        <v>1.2</v>
      </c>
      <c r="M58" s="1">
        <f t="shared" si="0"/>
        <v>17</v>
      </c>
      <c r="N58" s="1">
        <f t="shared" si="1"/>
        <v>20.399999999999999</v>
      </c>
      <c r="O58" s="1">
        <f t="shared" si="2"/>
        <v>856.8</v>
      </c>
    </row>
    <row r="59" spans="1:15" ht="12.5" x14ac:dyDescent="0.25">
      <c r="A59" s="1" t="s">
        <v>142</v>
      </c>
      <c r="B59" s="1" t="s">
        <v>143</v>
      </c>
      <c r="C59" s="1" t="s">
        <v>56</v>
      </c>
      <c r="D59" s="1" t="s">
        <v>57</v>
      </c>
      <c r="E59" s="1" t="s">
        <v>23</v>
      </c>
      <c r="F59" s="1" t="s">
        <v>20</v>
      </c>
      <c r="G59" s="1">
        <v>13</v>
      </c>
      <c r="H59" s="1">
        <v>0</v>
      </c>
      <c r="I59" s="1">
        <v>1</v>
      </c>
      <c r="J59" s="1">
        <v>1</v>
      </c>
      <c r="K59" s="1">
        <v>53</v>
      </c>
      <c r="L59" s="1">
        <v>1.2</v>
      </c>
      <c r="M59" s="1">
        <f t="shared" si="0"/>
        <v>15</v>
      </c>
      <c r="N59" s="1">
        <f t="shared" si="1"/>
        <v>18</v>
      </c>
      <c r="O59" s="1">
        <f t="shared" si="2"/>
        <v>826.8</v>
      </c>
    </row>
    <row r="60" spans="1:15" ht="12.5" x14ac:dyDescent="0.25">
      <c r="A60" s="1" t="s">
        <v>144</v>
      </c>
      <c r="B60" s="1" t="s">
        <v>145</v>
      </c>
      <c r="C60" s="1" t="s">
        <v>56</v>
      </c>
      <c r="D60" s="1" t="s">
        <v>57</v>
      </c>
      <c r="E60" s="1" t="s">
        <v>19</v>
      </c>
      <c r="F60" s="1" t="s">
        <v>28</v>
      </c>
      <c r="G60" s="1">
        <v>12</v>
      </c>
      <c r="H60" s="1">
        <v>0</v>
      </c>
      <c r="I60" s="1">
        <v>0</v>
      </c>
      <c r="J60" s="1">
        <v>1</v>
      </c>
      <c r="K60" s="1">
        <v>45</v>
      </c>
      <c r="L60" s="1">
        <v>1.2</v>
      </c>
      <c r="M60" s="1">
        <f t="shared" si="0"/>
        <v>13</v>
      </c>
      <c r="N60" s="1">
        <f t="shared" si="1"/>
        <v>15.6</v>
      </c>
      <c r="O60" s="1">
        <f t="shared" si="2"/>
        <v>648</v>
      </c>
    </row>
    <row r="61" spans="1:15" ht="12.5" x14ac:dyDescent="0.25">
      <c r="A61" s="1" t="s">
        <v>146</v>
      </c>
      <c r="B61" s="1" t="s">
        <v>147</v>
      </c>
      <c r="C61" s="1" t="s">
        <v>56</v>
      </c>
      <c r="D61" s="1" t="s">
        <v>57</v>
      </c>
      <c r="E61" s="1" t="s">
        <v>23</v>
      </c>
      <c r="F61" s="1" t="s">
        <v>28</v>
      </c>
      <c r="G61" s="1">
        <v>11</v>
      </c>
      <c r="H61" s="1">
        <v>0</v>
      </c>
      <c r="I61" s="1">
        <v>1</v>
      </c>
      <c r="J61" s="1">
        <v>0</v>
      </c>
      <c r="K61" s="1">
        <v>47</v>
      </c>
      <c r="L61" s="1">
        <v>1.2</v>
      </c>
      <c r="M61" s="1">
        <f t="shared" si="0"/>
        <v>12</v>
      </c>
      <c r="N61" s="1">
        <f t="shared" si="1"/>
        <v>14.399999999999999</v>
      </c>
      <c r="O61" s="1">
        <f t="shared" si="2"/>
        <v>620.4</v>
      </c>
    </row>
    <row r="62" spans="1:15" ht="12.5" x14ac:dyDescent="0.25">
      <c r="A62" s="1" t="s">
        <v>148</v>
      </c>
      <c r="B62" s="1" t="s">
        <v>149</v>
      </c>
      <c r="C62" s="1" t="s">
        <v>17</v>
      </c>
      <c r="D62" s="2" t="s">
        <v>39</v>
      </c>
      <c r="E62" s="1" t="s">
        <v>19</v>
      </c>
      <c r="F62" s="1" t="s">
        <v>20</v>
      </c>
      <c r="G62" s="1">
        <v>14</v>
      </c>
      <c r="H62" s="1">
        <v>0</v>
      </c>
      <c r="I62" s="1">
        <v>2</v>
      </c>
      <c r="J62" s="1">
        <v>1</v>
      </c>
      <c r="K62" s="1">
        <v>47</v>
      </c>
      <c r="L62" s="1">
        <v>1.2</v>
      </c>
      <c r="M62" s="1">
        <f t="shared" si="0"/>
        <v>17</v>
      </c>
      <c r="N62" s="1">
        <f t="shared" si="1"/>
        <v>20.399999999999999</v>
      </c>
      <c r="O62" s="1">
        <f t="shared" si="2"/>
        <v>789.6</v>
      </c>
    </row>
    <row r="63" spans="1:15" ht="12.5" x14ac:dyDescent="0.25">
      <c r="A63" s="1" t="s">
        <v>150</v>
      </c>
      <c r="B63" s="1" t="s">
        <v>151</v>
      </c>
      <c r="C63" s="1" t="s">
        <v>17</v>
      </c>
      <c r="D63" s="2" t="s">
        <v>39</v>
      </c>
      <c r="E63" s="1" t="s">
        <v>23</v>
      </c>
      <c r="F63" s="1" t="s">
        <v>20</v>
      </c>
      <c r="G63" s="1">
        <v>13</v>
      </c>
      <c r="H63" s="1">
        <v>0</v>
      </c>
      <c r="I63" s="1">
        <v>1</v>
      </c>
      <c r="J63" s="1">
        <v>1</v>
      </c>
      <c r="K63" s="1">
        <v>49</v>
      </c>
      <c r="L63" s="1">
        <v>1.2</v>
      </c>
      <c r="M63" s="1">
        <f t="shared" si="0"/>
        <v>15</v>
      </c>
      <c r="N63" s="1">
        <f t="shared" si="1"/>
        <v>18</v>
      </c>
      <c r="O63" s="1">
        <f t="shared" si="2"/>
        <v>764.4</v>
      </c>
    </row>
    <row r="64" spans="1:15" ht="12.5" x14ac:dyDescent="0.25">
      <c r="A64" s="1" t="s">
        <v>152</v>
      </c>
      <c r="B64" s="1" t="s">
        <v>153</v>
      </c>
      <c r="C64" s="1" t="s">
        <v>17</v>
      </c>
      <c r="D64" s="2" t="s">
        <v>39</v>
      </c>
      <c r="E64" s="1" t="s">
        <v>19</v>
      </c>
      <c r="F64" s="1" t="s">
        <v>28</v>
      </c>
      <c r="G64" s="1">
        <v>12</v>
      </c>
      <c r="H64" s="1">
        <v>0</v>
      </c>
      <c r="I64" s="1">
        <v>0</v>
      </c>
      <c r="J64" s="1">
        <v>1</v>
      </c>
      <c r="K64" s="1">
        <v>45</v>
      </c>
      <c r="L64" s="1">
        <v>1.2</v>
      </c>
      <c r="M64" s="1">
        <f t="shared" si="0"/>
        <v>13</v>
      </c>
      <c r="N64" s="1">
        <f t="shared" si="1"/>
        <v>15.6</v>
      </c>
      <c r="O64" s="1">
        <f t="shared" si="2"/>
        <v>648</v>
      </c>
    </row>
    <row r="65" spans="1:15" ht="12.5" x14ac:dyDescent="0.25">
      <c r="A65" s="1" t="s">
        <v>154</v>
      </c>
      <c r="B65" s="1" t="s">
        <v>155</v>
      </c>
      <c r="C65" s="1" t="s">
        <v>79</v>
      </c>
      <c r="D65" s="1" t="s">
        <v>79</v>
      </c>
      <c r="E65" s="1" t="s">
        <v>23</v>
      </c>
      <c r="F65" s="1" t="s">
        <v>28</v>
      </c>
      <c r="G65" s="1">
        <v>13</v>
      </c>
      <c r="H65" s="1">
        <v>0</v>
      </c>
      <c r="I65" s="1">
        <v>1</v>
      </c>
      <c r="J65" s="1">
        <v>1</v>
      </c>
      <c r="K65" s="1">
        <v>51</v>
      </c>
      <c r="L65" s="1">
        <v>1</v>
      </c>
      <c r="M65" s="1">
        <f t="shared" si="0"/>
        <v>15</v>
      </c>
      <c r="N65" s="1">
        <f t="shared" si="1"/>
        <v>15</v>
      </c>
      <c r="O65" s="1">
        <f t="shared" si="2"/>
        <v>663</v>
      </c>
    </row>
    <row r="66" spans="1:15" ht="12.5" x14ac:dyDescent="0.25">
      <c r="A66" s="1" t="s">
        <v>156</v>
      </c>
      <c r="B66" s="1" t="s">
        <v>157</v>
      </c>
      <c r="C66" s="1" t="s">
        <v>44</v>
      </c>
      <c r="D66" s="2" t="s">
        <v>45</v>
      </c>
      <c r="E66" s="1" t="s">
        <v>19</v>
      </c>
      <c r="F66" s="1" t="s">
        <v>28</v>
      </c>
      <c r="G66" s="1">
        <v>12</v>
      </c>
      <c r="H66" s="1">
        <v>0</v>
      </c>
      <c r="I66" s="1">
        <v>0</v>
      </c>
      <c r="J66" s="1">
        <v>1</v>
      </c>
      <c r="K66" s="1">
        <v>60</v>
      </c>
      <c r="L66" s="1">
        <v>1.1000000000000001</v>
      </c>
      <c r="M66" s="1">
        <f t="shared" si="0"/>
        <v>13</v>
      </c>
      <c r="N66" s="1">
        <f t="shared" si="1"/>
        <v>14.3</v>
      </c>
      <c r="O66" s="1">
        <f t="shared" si="2"/>
        <v>792.00000000000011</v>
      </c>
    </row>
    <row r="67" spans="1:15" ht="12.5" x14ac:dyDescent="0.25">
      <c r="A67" s="1" t="s">
        <v>158</v>
      </c>
      <c r="B67" s="1" t="s">
        <v>159</v>
      </c>
      <c r="C67" s="1" t="s">
        <v>44</v>
      </c>
      <c r="D67" s="2" t="s">
        <v>45</v>
      </c>
      <c r="E67" s="1" t="s">
        <v>23</v>
      </c>
      <c r="F67" s="1" t="s">
        <v>28</v>
      </c>
      <c r="G67" s="1">
        <v>14</v>
      </c>
      <c r="H67" s="1">
        <v>0</v>
      </c>
      <c r="I67" s="1">
        <v>1</v>
      </c>
      <c r="J67" s="1">
        <v>0</v>
      </c>
      <c r="K67" s="1">
        <v>62</v>
      </c>
      <c r="L67" s="1">
        <v>1.1000000000000001</v>
      </c>
      <c r="M67" s="1">
        <f t="shared" ref="M67:M71" si="3">G67+H67+I67+J67</f>
        <v>15</v>
      </c>
      <c r="N67" s="1">
        <f t="shared" ref="N67:N71" si="4">L67*M67</f>
        <v>16.5</v>
      </c>
      <c r="O67" s="1">
        <f t="shared" ref="O67:O71" si="5">G67*K67*L67</f>
        <v>954.80000000000007</v>
      </c>
    </row>
    <row r="68" spans="1:15" ht="12.5" x14ac:dyDescent="0.25">
      <c r="A68" s="1" t="s">
        <v>160</v>
      </c>
      <c r="B68" s="1" t="s">
        <v>174</v>
      </c>
      <c r="C68" s="1" t="s">
        <v>44</v>
      </c>
      <c r="D68" s="2" t="s">
        <v>45</v>
      </c>
      <c r="E68" s="1" t="s">
        <v>178</v>
      </c>
      <c r="F68" s="1" t="s">
        <v>20</v>
      </c>
      <c r="G68" s="1">
        <v>15</v>
      </c>
      <c r="H68" s="1">
        <v>0</v>
      </c>
      <c r="I68" s="1">
        <v>1</v>
      </c>
      <c r="J68" s="1">
        <v>1</v>
      </c>
      <c r="K68" s="1">
        <v>50</v>
      </c>
      <c r="L68" s="1">
        <v>1.1000000000000001</v>
      </c>
      <c r="M68" s="1">
        <f t="shared" si="3"/>
        <v>17</v>
      </c>
      <c r="N68" s="1">
        <f t="shared" si="4"/>
        <v>18.700000000000003</v>
      </c>
      <c r="O68" s="1">
        <f t="shared" si="5"/>
        <v>825.00000000000011</v>
      </c>
    </row>
    <row r="69" spans="1:15" ht="12.5" x14ac:dyDescent="0.25">
      <c r="A69" s="1" t="s">
        <v>162</v>
      </c>
      <c r="B69" s="1" t="s">
        <v>175</v>
      </c>
      <c r="C69" s="1" t="s">
        <v>44</v>
      </c>
      <c r="D69" s="2" t="s">
        <v>45</v>
      </c>
      <c r="E69" s="1" t="s">
        <v>179</v>
      </c>
      <c r="F69" s="1" t="s">
        <v>20</v>
      </c>
      <c r="G69" s="1">
        <v>14</v>
      </c>
      <c r="H69" s="1">
        <v>0</v>
      </c>
      <c r="I69" s="1">
        <v>1</v>
      </c>
      <c r="J69" s="1">
        <v>0</v>
      </c>
      <c r="K69" s="1">
        <v>55</v>
      </c>
      <c r="L69" s="1">
        <v>1.1000000000000001</v>
      </c>
      <c r="M69" s="1">
        <f t="shared" si="3"/>
        <v>15</v>
      </c>
      <c r="N69" s="1">
        <f t="shared" si="4"/>
        <v>16.5</v>
      </c>
      <c r="O69" s="1">
        <f t="shared" si="5"/>
        <v>847.00000000000011</v>
      </c>
    </row>
    <row r="70" spans="1:15" ht="12.5" x14ac:dyDescent="0.25">
      <c r="A70" s="1" t="s">
        <v>164</v>
      </c>
      <c r="B70" s="1" t="s">
        <v>176</v>
      </c>
      <c r="C70" s="1" t="s">
        <v>44</v>
      </c>
      <c r="D70" s="2" t="s">
        <v>45</v>
      </c>
      <c r="E70" s="1" t="s">
        <v>180</v>
      </c>
      <c r="F70" s="1" t="s">
        <v>20</v>
      </c>
      <c r="G70" s="1">
        <v>16</v>
      </c>
      <c r="H70" s="1">
        <v>0</v>
      </c>
      <c r="I70" s="1">
        <v>2</v>
      </c>
      <c r="J70" s="1">
        <v>1</v>
      </c>
      <c r="K70" s="1">
        <v>45</v>
      </c>
      <c r="L70" s="1">
        <v>1.1000000000000001</v>
      </c>
      <c r="M70" s="1">
        <f t="shared" si="3"/>
        <v>19</v>
      </c>
      <c r="N70" s="1">
        <f t="shared" si="4"/>
        <v>20.900000000000002</v>
      </c>
      <c r="O70" s="1">
        <f t="shared" si="5"/>
        <v>792.00000000000011</v>
      </c>
    </row>
    <row r="71" spans="1:15" ht="12.5" x14ac:dyDescent="0.25">
      <c r="A71" s="1" t="s">
        <v>166</v>
      </c>
      <c r="B71" s="1" t="s">
        <v>177</v>
      </c>
      <c r="C71" s="1" t="s">
        <v>44</v>
      </c>
      <c r="D71" s="2" t="s">
        <v>45</v>
      </c>
      <c r="E71" s="1" t="s">
        <v>181</v>
      </c>
      <c r="F71" s="1" t="s">
        <v>20</v>
      </c>
      <c r="G71" s="1">
        <v>14</v>
      </c>
      <c r="H71" s="1">
        <v>0</v>
      </c>
      <c r="I71" s="1">
        <v>2</v>
      </c>
      <c r="J71" s="1">
        <v>1</v>
      </c>
      <c r="K71" s="1">
        <v>47</v>
      </c>
      <c r="L71" s="1">
        <v>1.1000000000000001</v>
      </c>
      <c r="M71" s="1">
        <f t="shared" si="3"/>
        <v>17</v>
      </c>
      <c r="N71" s="1">
        <f t="shared" si="4"/>
        <v>18.700000000000003</v>
      </c>
      <c r="O71" s="1">
        <f t="shared" si="5"/>
        <v>723.80000000000007</v>
      </c>
    </row>
    <row r="77" spans="1:15" ht="12.5" x14ac:dyDescent="0.25"/>
    <row r="78" spans="1:15" ht="12.5" x14ac:dyDescent="0.25"/>
    <row r="79" spans="1:15" ht="12.5" x14ac:dyDescent="0.25"/>
    <row r="80" spans="1:15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1000" spans="26:40" ht="12.5" x14ac:dyDescent="0.25">
      <c r="Z1000" s="1" t="s">
        <v>160</v>
      </c>
      <c r="AA1000" s="1" t="s">
        <v>161</v>
      </c>
      <c r="AB1000" s="1" t="s">
        <v>44</v>
      </c>
      <c r="AC1000" s="2" t="s">
        <v>45</v>
      </c>
      <c r="AD1000" s="1" t="s">
        <v>19</v>
      </c>
      <c r="AE1000" s="1" t="s">
        <v>28</v>
      </c>
      <c r="AF1000" s="1">
        <v>12</v>
      </c>
      <c r="AG1000" s="1">
        <v>0</v>
      </c>
      <c r="AH1000" s="1">
        <v>1</v>
      </c>
      <c r="AI1000" s="1">
        <v>1</v>
      </c>
      <c r="AJ1000" s="1">
        <v>58</v>
      </c>
      <c r="AK1000" s="1">
        <v>1.1000000000000001</v>
      </c>
      <c r="AL1000" s="1">
        <v>14</v>
      </c>
      <c r="AM1000" s="1">
        <v>15.4</v>
      </c>
      <c r="AN1000" s="1">
        <v>232</v>
      </c>
    </row>
    <row r="1001" spans="26:40" ht="12.5" x14ac:dyDescent="0.25">
      <c r="Z1001" s="1" t="s">
        <v>162</v>
      </c>
      <c r="AA1001" s="1" t="s">
        <v>163</v>
      </c>
      <c r="AB1001" s="1" t="s">
        <v>44</v>
      </c>
      <c r="AC1001" s="2" t="s">
        <v>45</v>
      </c>
      <c r="AD1001" s="1" t="s">
        <v>23</v>
      </c>
      <c r="AE1001" s="1" t="s">
        <v>28</v>
      </c>
      <c r="AF1001" s="1">
        <v>13</v>
      </c>
      <c r="AG1001" s="1">
        <v>0</v>
      </c>
      <c r="AH1001" s="1">
        <v>0</v>
      </c>
      <c r="AI1001" s="1">
        <v>1</v>
      </c>
      <c r="AJ1001" s="1">
        <v>64</v>
      </c>
      <c r="AK1001" s="1">
        <v>1.1000000000000001</v>
      </c>
      <c r="AL1001" s="1">
        <v>14</v>
      </c>
      <c r="AM1001" s="1">
        <v>15.4</v>
      </c>
      <c r="AN1001" s="1">
        <v>280</v>
      </c>
    </row>
    <row r="1002" spans="26:40" ht="12.5" x14ac:dyDescent="0.25">
      <c r="Z1002" s="1" t="s">
        <v>164</v>
      </c>
      <c r="AA1002" s="1" t="s">
        <v>165</v>
      </c>
      <c r="AB1002" s="1" t="s">
        <v>56</v>
      </c>
      <c r="AC1002" s="1" t="s">
        <v>57</v>
      </c>
      <c r="AD1002" s="1" t="s">
        <v>19</v>
      </c>
      <c r="AE1002" s="1" t="s">
        <v>20</v>
      </c>
      <c r="AF1002" s="1">
        <v>14</v>
      </c>
      <c r="AG1002" s="1">
        <v>0</v>
      </c>
      <c r="AH1002" s="1">
        <v>2</v>
      </c>
      <c r="AI1002" s="1">
        <v>1</v>
      </c>
      <c r="AJ1002" s="1">
        <v>52</v>
      </c>
      <c r="AK1002" s="1">
        <v>1.2</v>
      </c>
      <c r="AL1002" s="1">
        <v>17</v>
      </c>
      <c r="AM1002" s="1">
        <v>20.399999999999999</v>
      </c>
      <c r="AN1002" s="1">
        <v>312</v>
      </c>
    </row>
    <row r="1003" spans="26:40" ht="12.5" x14ac:dyDescent="0.25">
      <c r="Z1003" s="1" t="s">
        <v>166</v>
      </c>
      <c r="AA1003" s="1" t="s">
        <v>167</v>
      </c>
      <c r="AB1003" s="1" t="s">
        <v>56</v>
      </c>
      <c r="AC1003" s="1" t="s">
        <v>57</v>
      </c>
      <c r="AD1003" s="1" t="s">
        <v>23</v>
      </c>
      <c r="AE1003" s="1" t="s">
        <v>20</v>
      </c>
      <c r="AF1003" s="1">
        <v>15</v>
      </c>
      <c r="AG1003" s="1">
        <v>0</v>
      </c>
      <c r="AH1003" s="1">
        <v>1</v>
      </c>
      <c r="AI1003" s="1">
        <v>0</v>
      </c>
      <c r="AJ1003" s="1">
        <v>54</v>
      </c>
      <c r="AK1003" s="1">
        <v>1.2</v>
      </c>
      <c r="AL1003" s="1">
        <v>16</v>
      </c>
      <c r="AM1003" s="1">
        <v>19.2</v>
      </c>
      <c r="AN1003" s="1">
        <v>324</v>
      </c>
    </row>
    <row r="1004" spans="26:40" ht="12.5" x14ac:dyDescent="0.25">
      <c r="Z1004" s="1" t="s">
        <v>128</v>
      </c>
      <c r="AA1004" s="1" t="s">
        <v>168</v>
      </c>
      <c r="AB1004" s="1" t="s">
        <v>56</v>
      </c>
      <c r="AC1004" s="1" t="s">
        <v>57</v>
      </c>
      <c r="AD1004" s="1" t="s">
        <v>19</v>
      </c>
      <c r="AE1004" s="1" t="s">
        <v>20</v>
      </c>
      <c r="AF1004" s="1">
        <v>13</v>
      </c>
      <c r="AG1004" s="1">
        <v>0</v>
      </c>
      <c r="AH1004" s="1">
        <v>2</v>
      </c>
      <c r="AI1004" s="1">
        <v>1</v>
      </c>
      <c r="AJ1004" s="1">
        <v>50</v>
      </c>
      <c r="AK1004" s="1">
        <v>1.2</v>
      </c>
      <c r="AL1004" s="1">
        <v>16</v>
      </c>
      <c r="AM1004" s="1">
        <v>19.2</v>
      </c>
      <c r="AN1004" s="1">
        <v>300</v>
      </c>
    </row>
    <row r="1005" spans="26:40" ht="12.5" x14ac:dyDescent="0.25">
      <c r="Z1005" s="1" t="s">
        <v>130</v>
      </c>
      <c r="AA1005" s="1" t="s">
        <v>169</v>
      </c>
      <c r="AB1005" s="1" t="s">
        <v>56</v>
      </c>
      <c r="AC1005" s="1" t="s">
        <v>57</v>
      </c>
      <c r="AD1005" s="1" t="s">
        <v>23</v>
      </c>
      <c r="AE1005" s="1" t="s">
        <v>28</v>
      </c>
      <c r="AF1005" s="1">
        <v>12</v>
      </c>
      <c r="AG1005" s="1">
        <v>0</v>
      </c>
      <c r="AH1005" s="1">
        <v>1</v>
      </c>
      <c r="AI1005" s="1">
        <v>1</v>
      </c>
      <c r="AJ1005" s="1">
        <v>46</v>
      </c>
      <c r="AK1005" s="1">
        <v>1.2</v>
      </c>
      <c r="AL1005" s="1">
        <v>14</v>
      </c>
      <c r="AM1005" s="1">
        <v>16.8</v>
      </c>
      <c r="AN1005" s="1">
        <v>253.2</v>
      </c>
    </row>
    <row r="1006" spans="26:40" ht="12.5" x14ac:dyDescent="0.25">
      <c r="Z1006" s="1" t="s">
        <v>132</v>
      </c>
      <c r="AA1006" s="1" t="s">
        <v>170</v>
      </c>
      <c r="AB1006" s="1" t="s">
        <v>56</v>
      </c>
      <c r="AC1006" s="1" t="s">
        <v>57</v>
      </c>
      <c r="AD1006" s="1" t="s">
        <v>19</v>
      </c>
      <c r="AE1006" s="1" t="s">
        <v>28</v>
      </c>
      <c r="AF1006" s="1">
        <v>11</v>
      </c>
      <c r="AG1006" s="1">
        <v>0</v>
      </c>
      <c r="AH1006" s="1">
        <v>0</v>
      </c>
      <c r="AI1006" s="1">
        <v>1</v>
      </c>
      <c r="AJ1006" s="1">
        <v>48</v>
      </c>
      <c r="AK1006" s="1">
        <v>1.2</v>
      </c>
      <c r="AL1006" s="1">
        <v>12</v>
      </c>
      <c r="AM1006" s="1">
        <v>14.4</v>
      </c>
      <c r="AN1006" s="1">
        <v>240</v>
      </c>
    </row>
    <row r="1007" spans="26:40" ht="12.5" x14ac:dyDescent="0.25">
      <c r="Z1007" s="1" t="s">
        <v>134</v>
      </c>
      <c r="AA1007" s="1" t="s">
        <v>171</v>
      </c>
      <c r="AB1007" s="1" t="s">
        <v>56</v>
      </c>
      <c r="AC1007" s="1" t="s">
        <v>68</v>
      </c>
      <c r="AD1007" s="1" t="s">
        <v>23</v>
      </c>
      <c r="AE1007" s="1" t="s">
        <v>20</v>
      </c>
      <c r="AF1007" s="1">
        <v>16</v>
      </c>
      <c r="AG1007" s="1">
        <v>0</v>
      </c>
      <c r="AH1007" s="1">
        <v>1</v>
      </c>
      <c r="AI1007" s="1">
        <v>0</v>
      </c>
      <c r="AJ1007" s="1">
        <v>46</v>
      </c>
      <c r="AK1007" s="1">
        <v>1.3</v>
      </c>
      <c r="AL1007" s="1">
        <v>17</v>
      </c>
      <c r="AM1007" s="1">
        <v>22.1</v>
      </c>
      <c r="AN1007" s="1">
        <v>343.2</v>
      </c>
    </row>
    <row r="1008" spans="26:40" ht="12.5" x14ac:dyDescent="0.25">
      <c r="Z1008" s="1" t="s">
        <v>136</v>
      </c>
      <c r="AA1008" s="1" t="s">
        <v>172</v>
      </c>
      <c r="AB1008" s="1" t="s">
        <v>56</v>
      </c>
      <c r="AC1008" s="1" t="s">
        <v>68</v>
      </c>
      <c r="AD1008" s="1" t="s">
        <v>19</v>
      </c>
      <c r="AE1008" s="1" t="s">
        <v>20</v>
      </c>
      <c r="AF1008" s="1">
        <v>15</v>
      </c>
      <c r="AG1008" s="1">
        <v>0</v>
      </c>
      <c r="AH1008" s="1">
        <v>2</v>
      </c>
      <c r="AI1008" s="1">
        <v>1</v>
      </c>
      <c r="AJ1008" s="1">
        <v>43</v>
      </c>
      <c r="AK1008" s="1">
        <v>1.3</v>
      </c>
      <c r="AL1008" s="1">
        <v>18</v>
      </c>
      <c r="AM1008" s="1">
        <v>23.4</v>
      </c>
      <c r="AN1008" s="1">
        <v>334.5</v>
      </c>
    </row>
    <row r="1009" spans="26:40" ht="12.5" x14ac:dyDescent="0.25">
      <c r="Z1009" s="1" t="s">
        <v>138</v>
      </c>
      <c r="AA1009" s="1" t="s">
        <v>173</v>
      </c>
      <c r="AB1009" s="1" t="s">
        <v>56</v>
      </c>
      <c r="AC1009" s="1" t="s">
        <v>68</v>
      </c>
      <c r="AD1009" s="1" t="s">
        <v>23</v>
      </c>
      <c r="AE1009" s="1" t="s">
        <v>20</v>
      </c>
      <c r="AF1009" s="1">
        <v>14</v>
      </c>
      <c r="AG1009" s="1">
        <v>0</v>
      </c>
      <c r="AH1009" s="1">
        <v>1</v>
      </c>
      <c r="AI1009" s="1">
        <v>1</v>
      </c>
      <c r="AJ1009" s="1">
        <v>47</v>
      </c>
      <c r="AK1009" s="1">
        <v>1.3</v>
      </c>
      <c r="AL1009" s="1">
        <v>16</v>
      </c>
      <c r="AM1009" s="1">
        <v>20.8</v>
      </c>
      <c r="AN1009" s="1">
        <v>308.8</v>
      </c>
    </row>
  </sheetData>
  <phoneticPr fontId="3" type="noConversion"/>
  <hyperlinks>
    <hyperlink ref="D10" r:id="rId1" xr:uid="{00000000-0004-0000-0000-000000000000}"/>
    <hyperlink ref="D11" r:id="rId2" xr:uid="{00000000-0004-0000-0000-000001000000}"/>
    <hyperlink ref="D12" r:id="rId3" xr:uid="{00000000-0004-0000-0000-000002000000}"/>
    <hyperlink ref="D13" r:id="rId4" xr:uid="{00000000-0004-0000-0000-000003000000}"/>
    <hyperlink ref="D14" r:id="rId5" xr:uid="{00000000-0004-0000-0000-000004000000}"/>
    <hyperlink ref="D15" r:id="rId6" xr:uid="{00000000-0004-0000-0000-000005000000}"/>
    <hyperlink ref="D16" r:id="rId7" xr:uid="{00000000-0004-0000-0000-000006000000}"/>
    <hyperlink ref="D37" r:id="rId8" xr:uid="{00000000-0004-0000-0000-000007000000}"/>
    <hyperlink ref="D38" r:id="rId9" xr:uid="{00000000-0004-0000-0000-000008000000}"/>
    <hyperlink ref="D39" r:id="rId10" xr:uid="{00000000-0004-0000-0000-000009000000}"/>
    <hyperlink ref="D40" r:id="rId11" xr:uid="{00000000-0004-0000-0000-00000A000000}"/>
    <hyperlink ref="D41" r:id="rId12" xr:uid="{00000000-0004-0000-0000-00000B000000}"/>
    <hyperlink ref="D50" r:id="rId13" xr:uid="{00000000-0004-0000-0000-00000C000000}"/>
    <hyperlink ref="D51" r:id="rId14" xr:uid="{00000000-0004-0000-0000-00000D000000}"/>
    <hyperlink ref="D62" r:id="rId15" xr:uid="{00000000-0004-0000-0000-00000E000000}"/>
    <hyperlink ref="D63" r:id="rId16" xr:uid="{00000000-0004-0000-0000-00000F000000}"/>
    <hyperlink ref="D64" r:id="rId17" xr:uid="{00000000-0004-0000-0000-000010000000}"/>
    <hyperlink ref="D66" r:id="rId18" xr:uid="{00000000-0004-0000-0000-000011000000}"/>
    <hyperlink ref="D67" r:id="rId19" xr:uid="{00000000-0004-0000-0000-000012000000}"/>
    <hyperlink ref="AC1000" r:id="rId20" xr:uid="{00000000-0004-0000-0000-000013000000}"/>
    <hyperlink ref="AC1001" r:id="rId21" xr:uid="{00000000-0004-0000-0000-000014000000}"/>
    <hyperlink ref="D68:D71" r:id="rId22" display="B.Com" xr:uid="{82751338-E962-4EE8-80EA-93853A4F7A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Priya Murali</dc:creator>
  <cp:lastModifiedBy>Murali Chandran</cp:lastModifiedBy>
  <dcterms:created xsi:type="dcterms:W3CDTF">2026-03-24T15:00:30Z</dcterms:created>
  <dcterms:modified xsi:type="dcterms:W3CDTF">2026-03-24T15:00:30Z</dcterms:modified>
</cp:coreProperties>
</file>